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AAF06AA5-5F21-4689-986A-9628E23A5386}" xr6:coauthVersionLast="47" xr6:coauthVersionMax="47" xr10:uidLastSave="{00000000-0000-0000-0000-000000000000}"/>
  <bookViews>
    <workbookView xWindow="0" yWindow="0" windowWidth="0" windowHeight="0" firstSheet="9" activeTab="9" xr2:uid="{00000000-000D-0000-FFFF-FFFF00000000}"/>
  </bookViews>
  <sheets>
    <sheet name="Anamnese" sheetId="2" r:id="rId1"/>
    <sheet name="Renda" sheetId="3" r:id="rId2"/>
    <sheet name="Despesas" sheetId="4" r:id="rId3"/>
    <sheet name="Patrimonio" sheetId="5" r:id="rId4"/>
    <sheet name="Dividas" sheetId="6" r:id="rId5"/>
    <sheet name="Investimentos" sheetId="7" r:id="rId6"/>
    <sheet name="Plano_Acao" sheetId="8" r:id="rId7"/>
    <sheet name="Laudo" sheetId="9" r:id="rId8"/>
    <sheet name="Parametros" sheetId="10" r:id="rId9"/>
    <sheet name="Dashboard" sheetId="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9" l="1"/>
  <c r="B7" i="6"/>
  <c r="B6" i="5"/>
  <c r="B7" i="9" s="1"/>
  <c r="B17" i="1" s="1"/>
  <c r="B9" i="4"/>
  <c r="E3" i="4"/>
  <c r="B8" i="3"/>
  <c r="B16" i="1"/>
  <c r="B8" i="1"/>
  <c r="B7" i="1"/>
  <c r="B6" i="1"/>
  <c r="B5" i="1"/>
  <c r="B4" i="1"/>
  <c r="B4" i="9" l="1"/>
  <c r="B14" i="1" s="1"/>
  <c r="B2" i="9"/>
  <c r="B5" i="9"/>
  <c r="B15" i="1" s="1"/>
  <c r="B3" i="9"/>
  <c r="B13" i="1" s="1"/>
  <c r="E2" i="9" l="1"/>
  <c r="B12" i="1"/>
  <c r="E3" i="9" l="1"/>
  <c r="B9" i="1"/>
  <c r="D3" i="1"/>
</calcChain>
</file>

<file path=xl/sharedStrings.xml><?xml version="1.0" encoding="utf-8"?>
<sst xmlns="http://schemas.openxmlformats.org/spreadsheetml/2006/main" count="113" uniqueCount="82">
  <si>
    <t>ANAMNESE FINANCEIRA - A.D. FINANCE</t>
  </si>
  <si>
    <t>Consultor</t>
  </si>
  <si>
    <t>Alessandro Dória Alves Pereira</t>
  </si>
  <si>
    <t>CRA</t>
  </si>
  <si>
    <t>01-066451/D</t>
  </si>
  <si>
    <t>Nome Completo</t>
  </si>
  <si>
    <t>Alessandro Dória</t>
  </si>
  <si>
    <t>CPF</t>
  </si>
  <si>
    <t>040.842.356-01</t>
  </si>
  <si>
    <t>Data Nascimento</t>
  </si>
  <si>
    <t>Estado Civil</t>
  </si>
  <si>
    <t>Casado</t>
  </si>
  <si>
    <t>Profissao</t>
  </si>
  <si>
    <t>Administrador</t>
  </si>
  <si>
    <t>Empresa</t>
  </si>
  <si>
    <t>Autônomo</t>
  </si>
  <si>
    <t>Telefone</t>
  </si>
  <si>
    <t>031 98578-5744</t>
  </si>
  <si>
    <t>Email</t>
  </si>
  <si>
    <t>adoria19.adm@gmail.com</t>
  </si>
  <si>
    <t>Objetivo Principal</t>
  </si>
  <si>
    <t>Independência Financeira</t>
  </si>
  <si>
    <t>Salario</t>
  </si>
  <si>
    <t>Prolabore</t>
  </si>
  <si>
    <t>Alugueis</t>
  </si>
  <si>
    <t>Investimentos</t>
  </si>
  <si>
    <t>Outros</t>
  </si>
  <si>
    <t>Renda Total</t>
  </si>
  <si>
    <t>Moradia</t>
  </si>
  <si>
    <t>Meses Reserva</t>
  </si>
  <si>
    <t>Alimentacao</t>
  </si>
  <si>
    <t>Reserva Necessaria</t>
  </si>
  <si>
    <t>Transporte</t>
  </si>
  <si>
    <t>Saude</t>
  </si>
  <si>
    <t>Educacao</t>
  </si>
  <si>
    <t>Outras</t>
  </si>
  <si>
    <t>Despesa Total</t>
  </si>
  <si>
    <t>Imoveis</t>
  </si>
  <si>
    <t>Veiculos</t>
  </si>
  <si>
    <t>Patrimonio Bruto</t>
  </si>
  <si>
    <t>Cartao</t>
  </si>
  <si>
    <t>Emprestimos</t>
  </si>
  <si>
    <t>Financiamentos</t>
  </si>
  <si>
    <t>Dividas Totais</t>
  </si>
  <si>
    <t>Patrimonio Investido</t>
  </si>
  <si>
    <t>Ação</t>
  </si>
  <si>
    <t>Responsável</t>
  </si>
  <si>
    <t>Prazo</t>
  </si>
  <si>
    <t>Concluída</t>
  </si>
  <si>
    <t>Controlar Gastos com o Cartão de Crédito</t>
  </si>
  <si>
    <t xml:space="preserve">Alessandro </t>
  </si>
  <si>
    <t>Até Dezembro de 2026</t>
  </si>
  <si>
    <t>☐</t>
  </si>
  <si>
    <t>Resolver Dívidas com Bancos</t>
  </si>
  <si>
    <t>5 anos</t>
  </si>
  <si>
    <t>Eliminar Compras Impulsivas</t>
  </si>
  <si>
    <t>Daqui a 1 Mês</t>
  </si>
  <si>
    <t>Eliminar Gastos Supérfluos</t>
  </si>
  <si>
    <t>Investimento Pessoal</t>
  </si>
  <si>
    <t>Á Partir de Dezembro de 2026</t>
  </si>
  <si>
    <t>Projeto Casa Nova</t>
  </si>
  <si>
    <t>Projeto Carro Novo</t>
  </si>
  <si>
    <t>Empreendimento</t>
  </si>
  <si>
    <t>Á Partir de Novembro de 2026</t>
  </si>
  <si>
    <t>Reserva de Emergência</t>
  </si>
  <si>
    <t>Daqui a 3 Meses</t>
  </si>
  <si>
    <t>Investimento do Negócio</t>
  </si>
  <si>
    <t>Endividamento</t>
  </si>
  <si>
    <t>Score AD</t>
  </si>
  <si>
    <t>Liquidez</t>
  </si>
  <si>
    <t>Classificacao</t>
  </si>
  <si>
    <t>Capacidade Poupanca</t>
  </si>
  <si>
    <t>Reserva Emergencia</t>
  </si>
  <si>
    <t>Patrimonio</t>
  </si>
  <si>
    <t>A.D. FINANCE Dashboard Executivo</t>
  </si>
  <si>
    <t>Semaforo Risco</t>
  </si>
  <si>
    <t>Renda</t>
  </si>
  <si>
    <t>Despesas</t>
  </si>
  <si>
    <t>Reserva</t>
  </si>
  <si>
    <t>Dividas</t>
  </si>
  <si>
    <t>Patrimonio Liquido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</si>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</sst>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Radar Financeiro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Dashboard!$A$12:$A$17</c:f>
              <c:strCache>
                <c:ptCount val="6"/>
                <c:pt idx="0">
                  <c:v>Endividamento</c:v>
                </c:pt>
                <c:pt idx="1">
                  <c:v>Liquidez</c:v>
                </c:pt>
                <c:pt idx="2">
                  <c:v>Capacidade Poupanca</c:v>
                </c:pt>
                <c:pt idx="3">
                  <c:v>Reserva Emergencia</c:v>
                </c:pt>
                <c:pt idx="4">
                  <c:v>Investimentos</c:v>
                </c:pt>
                <c:pt idx="5">
                  <c:v>Patrimonio</c:v>
                </c:pt>
              </c:strCache>
            </c:strRef>
          </c:cat>
          <c:val>
            <c:numRef>
              <c:f>Dashboard!$B$12:$B$17</c:f>
              <c:numCache>
                <c:formatCode>General</c:formatCode>
                <c:ptCount val="6"/>
                <c:pt idx="0">
                  <c:v>13.3125</c:v>
                </c:pt>
                <c:pt idx="1">
                  <c:v>0</c:v>
                </c:pt>
                <c:pt idx="2">
                  <c:v>0.1875</c:v>
                </c:pt>
                <c:pt idx="3">
                  <c:v>12</c:v>
                </c:pt>
                <c:pt idx="4">
                  <c:v>0</c:v>
                </c:pt>
                <c:pt idx="5">
                  <c:v>92400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A-4492-B409-113DFDC9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Dashboard!$A$4:$A$8</c:f>
              <c:strCache>
                <c:ptCount val="5"/>
                <c:pt idx="0">
                  <c:v>Renda</c:v>
                </c:pt>
                <c:pt idx="1">
                  <c:v>Despesas</c:v>
                </c:pt>
                <c:pt idx="2">
                  <c:v>Reserva</c:v>
                </c:pt>
                <c:pt idx="3">
                  <c:v>Dividas</c:v>
                </c:pt>
                <c:pt idx="4">
                  <c:v>Patrimonio Liquido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3200</c:v>
                </c:pt>
                <c:pt idx="1">
                  <c:v>2600</c:v>
                </c:pt>
                <c:pt idx="2">
                  <c:v>31200</c:v>
                </c:pt>
                <c:pt idx="3">
                  <c:v>42600</c:v>
                </c:pt>
                <c:pt idx="4">
                  <c:v>92400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1-4389-8A64-E21638131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314325</xdr:colOff>
      <xdr:row>1</xdr:row>
      <xdr:rowOff>19050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1025" y="209550"/>
          <a:ext cx="1143000" cy="1143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0</xdr:row>
      <xdr:rowOff>142875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62200" y="142875"/>
          <a:ext cx="1143000" cy="1143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19050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10100" y="19050"/>
          <a:ext cx="1143000" cy="1143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0</xdr:row>
      <xdr:rowOff>28575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47950" y="28575"/>
          <a:ext cx="1143000" cy="1143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66675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52675"/>
          <a:ext cx="1143000" cy="1143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95250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19250"/>
          <a:ext cx="1143000" cy="11430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18</xdr:row>
      <xdr:rowOff>76200</xdr:rowOff>
    </xdr:from>
    <xdr:ext cx="1143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3505200"/>
          <a:ext cx="1143000" cy="11430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47625</xdr:colOff>
      <xdr:row>3</xdr:row>
      <xdr:rowOff>57150</xdr:rowOff>
    </xdr:from>
    <xdr:ext cx="2809875" cy="2276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76550" y="628650"/>
          <a:ext cx="2809875" cy="2276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doria19.ad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I6" sqref="I6"/>
    </sheetView>
  </sheetViews>
  <sheetFormatPr defaultRowHeight="15"/>
  <cols>
    <col min="3" max="3" width="24.5703125" bestFit="1" customWidth="1"/>
  </cols>
  <sheetData>
    <row r="1" spans="1:3">
      <c r="A1" s="2" t="s">
        <v>0</v>
      </c>
    </row>
    <row r="3" spans="1:3">
      <c r="A3" t="s">
        <v>1</v>
      </c>
      <c r="B3" t="s">
        <v>2</v>
      </c>
    </row>
    <row r="4" spans="1:3">
      <c r="A4" t="s">
        <v>3</v>
      </c>
      <c r="B4" t="s">
        <v>4</v>
      </c>
    </row>
    <row r="6" spans="1:3">
      <c r="A6" t="s">
        <v>5</v>
      </c>
      <c r="C6" t="s">
        <v>6</v>
      </c>
    </row>
    <row r="7" spans="1:3">
      <c r="A7" t="s">
        <v>7</v>
      </c>
      <c r="C7" s="4" t="s">
        <v>8</v>
      </c>
    </row>
    <row r="8" spans="1:3">
      <c r="A8" t="s">
        <v>9</v>
      </c>
      <c r="C8" s="5">
        <v>28705</v>
      </c>
    </row>
    <row r="9" spans="1:3">
      <c r="A9" t="s">
        <v>10</v>
      </c>
      <c r="C9" t="s">
        <v>11</v>
      </c>
    </row>
    <row r="10" spans="1:3">
      <c r="A10" t="s">
        <v>12</v>
      </c>
      <c r="C10" t="s">
        <v>13</v>
      </c>
    </row>
    <row r="11" spans="1:3">
      <c r="A11" t="s">
        <v>14</v>
      </c>
      <c r="C11" t="s">
        <v>15</v>
      </c>
    </row>
    <row r="12" spans="1:3">
      <c r="A12" t="s">
        <v>16</v>
      </c>
      <c r="C12" t="s">
        <v>17</v>
      </c>
    </row>
    <row r="13" spans="1:3">
      <c r="A13" t="s">
        <v>18</v>
      </c>
      <c r="C13" s="3" t="s">
        <v>19</v>
      </c>
    </row>
    <row r="14" spans="1:3">
      <c r="A14" t="s">
        <v>20</v>
      </c>
      <c r="C14" t="s">
        <v>21</v>
      </c>
    </row>
  </sheetData>
  <hyperlinks>
    <hyperlink ref="C13" r:id="rId1" xr:uid="{F0FCD665-53D2-41A1-BFB9-79ECA0CF85DE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8"/>
  <sheetViews>
    <sheetView workbookViewId="0">
      <selection activeCell="H5" sqref="H5"/>
    </sheetView>
  </sheetViews>
  <sheetFormatPr defaultRowHeight="15"/>
  <cols>
    <col min="1" max="1" width="13.5703125" bestFit="1" customWidth="1"/>
  </cols>
  <sheetData>
    <row r="2" spans="1:2">
      <c r="A2" t="s">
        <v>22</v>
      </c>
      <c r="B2">
        <v>3200</v>
      </c>
    </row>
    <row r="3" spans="1:2">
      <c r="A3" t="s">
        <v>23</v>
      </c>
    </row>
    <row r="4" spans="1:2">
      <c r="A4" t="s">
        <v>24</v>
      </c>
    </row>
    <row r="5" spans="1:2">
      <c r="A5" t="s">
        <v>25</v>
      </c>
    </row>
    <row r="6" spans="1:2">
      <c r="A6" t="s">
        <v>26</v>
      </c>
    </row>
    <row r="8" spans="1:2">
      <c r="A8" t="s">
        <v>27</v>
      </c>
      <c r="B8">
        <f>SUM(B2:B6)</f>
        <v>3200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9"/>
  <sheetViews>
    <sheetView workbookViewId="0">
      <selection activeCell="J7" sqref="J7"/>
    </sheetView>
  </sheetViews>
  <sheetFormatPr defaultRowHeight="15"/>
  <cols>
    <col min="1" max="1" width="13.42578125" bestFit="1" customWidth="1"/>
    <col min="4" max="4" width="18.140625" bestFit="1" customWidth="1"/>
  </cols>
  <sheetData>
    <row r="2" spans="1:5">
      <c r="A2" t="s">
        <v>28</v>
      </c>
      <c r="B2">
        <v>1500</v>
      </c>
      <c r="D2" t="s">
        <v>29</v>
      </c>
      <c r="E2">
        <v>12</v>
      </c>
    </row>
    <row r="3" spans="1:5">
      <c r="A3" t="s">
        <v>30</v>
      </c>
      <c r="B3">
        <v>700</v>
      </c>
      <c r="D3" t="s">
        <v>31</v>
      </c>
      <c r="E3">
        <f>B9*E2</f>
        <v>31200</v>
      </c>
    </row>
    <row r="4" spans="1:5">
      <c r="A4" t="s">
        <v>32</v>
      </c>
      <c r="B4">
        <v>400</v>
      </c>
    </row>
    <row r="5" spans="1:5">
      <c r="A5" t="s">
        <v>33</v>
      </c>
    </row>
    <row r="6" spans="1:5">
      <c r="A6" t="s">
        <v>34</v>
      </c>
    </row>
    <row r="7" spans="1:5">
      <c r="A7" t="s">
        <v>35</v>
      </c>
    </row>
    <row r="9" spans="1:5">
      <c r="A9" t="s">
        <v>36</v>
      </c>
      <c r="B9">
        <f>SUM(B2:B7)</f>
        <v>2600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"/>
  <sheetViews>
    <sheetView workbookViewId="0">
      <selection activeCell="I11" sqref="I11"/>
    </sheetView>
  </sheetViews>
  <sheetFormatPr defaultRowHeight="15"/>
  <cols>
    <col min="1" max="1" width="16.28515625" bestFit="1" customWidth="1"/>
  </cols>
  <sheetData>
    <row r="2" spans="1:2">
      <c r="A2" t="s">
        <v>37</v>
      </c>
      <c r="B2">
        <v>100000</v>
      </c>
    </row>
    <row r="3" spans="1:2">
      <c r="A3" t="s">
        <v>38</v>
      </c>
      <c r="B3">
        <v>35000</v>
      </c>
    </row>
    <row r="4" spans="1:2">
      <c r="A4" t="s">
        <v>26</v>
      </c>
    </row>
    <row r="6" spans="1:2">
      <c r="A6" t="s">
        <v>39</v>
      </c>
      <c r="B6">
        <f>SUM(B2:B4)</f>
        <v>135000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7"/>
  <sheetViews>
    <sheetView workbookViewId="0">
      <selection activeCell="B4" sqref="B4"/>
    </sheetView>
  </sheetViews>
  <sheetFormatPr defaultRowHeight="15"/>
  <cols>
    <col min="1" max="1" width="15" bestFit="1" customWidth="1"/>
    <col min="2" max="2" width="9.42578125" customWidth="1"/>
  </cols>
  <sheetData>
    <row r="2" spans="1:2">
      <c r="A2" t="s">
        <v>40</v>
      </c>
      <c r="B2">
        <v>2600</v>
      </c>
    </row>
    <row r="3" spans="1:2">
      <c r="A3" t="s">
        <v>41</v>
      </c>
      <c r="B3">
        <v>35000</v>
      </c>
    </row>
    <row r="4" spans="1:2">
      <c r="A4" t="s">
        <v>42</v>
      </c>
      <c r="B4">
        <v>5000</v>
      </c>
    </row>
    <row r="5" spans="1:2">
      <c r="A5" t="s">
        <v>35</v>
      </c>
    </row>
    <row r="7" spans="1:2">
      <c r="A7" t="s">
        <v>43</v>
      </c>
      <c r="B7">
        <f>SUM(B2:B5)</f>
        <v>42600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9:B9"/>
  <sheetViews>
    <sheetView workbookViewId="0">
      <selection activeCell="C9" sqref="C9"/>
    </sheetView>
  </sheetViews>
  <sheetFormatPr defaultRowHeight="15"/>
  <cols>
    <col min="1" max="1" width="19.5703125" bestFit="1" customWidth="1"/>
  </cols>
  <sheetData>
    <row r="9" spans="1:2">
      <c r="A9" t="s">
        <v>44</v>
      </c>
      <c r="B9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C4" sqref="C4"/>
    </sheetView>
  </sheetViews>
  <sheetFormatPr defaultRowHeight="15"/>
  <cols>
    <col min="1" max="1" width="38.28515625" bestFit="1" customWidth="1"/>
    <col min="2" max="2" width="11.85546875" bestFit="1" customWidth="1"/>
    <col min="3" max="3" width="27.85546875" bestFit="1" customWidth="1"/>
    <col min="4" max="4" width="9.7109375" bestFit="1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49</v>
      </c>
      <c r="B2" t="s">
        <v>50</v>
      </c>
      <c r="C2" t="s">
        <v>51</v>
      </c>
      <c r="D2" t="s">
        <v>52</v>
      </c>
    </row>
    <row r="3" spans="1:4">
      <c r="A3" t="s">
        <v>53</v>
      </c>
      <c r="B3" t="s">
        <v>50</v>
      </c>
      <c r="C3" t="s">
        <v>54</v>
      </c>
      <c r="D3" t="s">
        <v>52</v>
      </c>
    </row>
    <row r="4" spans="1:4">
      <c r="A4" t="s">
        <v>55</v>
      </c>
      <c r="B4" t="s">
        <v>50</v>
      </c>
      <c r="C4" t="s">
        <v>56</v>
      </c>
      <c r="D4" t="s">
        <v>52</v>
      </c>
    </row>
    <row r="5" spans="1:4">
      <c r="A5" t="s">
        <v>57</v>
      </c>
      <c r="B5" t="s">
        <v>50</v>
      </c>
      <c r="C5" t="s">
        <v>56</v>
      </c>
      <c r="D5" t="s">
        <v>52</v>
      </c>
    </row>
    <row r="6" spans="1:4">
      <c r="A6" t="s">
        <v>58</v>
      </c>
      <c r="B6" t="s">
        <v>50</v>
      </c>
      <c r="C6" t="s">
        <v>59</v>
      </c>
      <c r="D6" t="s">
        <v>52</v>
      </c>
    </row>
    <row r="7" spans="1:4">
      <c r="A7" t="s">
        <v>60</v>
      </c>
      <c r="B7" t="s">
        <v>50</v>
      </c>
      <c r="C7" t="s">
        <v>59</v>
      </c>
      <c r="D7" t="s">
        <v>52</v>
      </c>
    </row>
    <row r="8" spans="1:4">
      <c r="A8" t="s">
        <v>61</v>
      </c>
      <c r="B8" t="s">
        <v>50</v>
      </c>
      <c r="C8" t="s">
        <v>59</v>
      </c>
      <c r="D8" t="s">
        <v>52</v>
      </c>
    </row>
    <row r="9" spans="1:4">
      <c r="A9" t="s">
        <v>62</v>
      </c>
      <c r="B9" t="s">
        <v>50</v>
      </c>
      <c r="C9" t="s">
        <v>63</v>
      </c>
      <c r="D9" t="s">
        <v>52</v>
      </c>
    </row>
    <row r="10" spans="1:4">
      <c r="A10" t="s">
        <v>64</v>
      </c>
      <c r="B10" t="s">
        <v>50</v>
      </c>
      <c r="C10" t="s">
        <v>65</v>
      </c>
      <c r="D10" t="s">
        <v>52</v>
      </c>
    </row>
    <row r="11" spans="1:4">
      <c r="A11" t="s">
        <v>66</v>
      </c>
      <c r="B11" t="s">
        <v>50</v>
      </c>
      <c r="C11" t="s">
        <v>63</v>
      </c>
      <c r="D11" t="s">
        <v>52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7"/>
  <sheetViews>
    <sheetView workbookViewId="0">
      <selection activeCell="I6" sqref="I6"/>
    </sheetView>
  </sheetViews>
  <sheetFormatPr defaultRowHeight="15"/>
  <cols>
    <col min="1" max="1" width="20.5703125" bestFit="1" customWidth="1"/>
    <col min="2" max="2" width="12.5703125" bestFit="1" customWidth="1"/>
    <col min="4" max="4" width="12.140625" bestFit="1" customWidth="1"/>
    <col min="5" max="5" width="13" bestFit="1" customWidth="1"/>
  </cols>
  <sheetData>
    <row r="2" spans="1:5">
      <c r="A2" t="s">
        <v>67</v>
      </c>
      <c r="B2">
        <f>IF(Renda!B8=0,0,Dividas!B7/Renda!B8)</f>
        <v>13.3125</v>
      </c>
      <c r="D2" t="s">
        <v>68</v>
      </c>
      <c r="E2">
        <f>MAX(0,MIN(100,100-(B2*30)+(B3*10)+(B4*30)+(B5*5)))</f>
        <v>0</v>
      </c>
    </row>
    <row r="3" spans="1:5">
      <c r="A3" t="s">
        <v>69</v>
      </c>
      <c r="B3">
        <f>IF(Despesas!B9=0,0,Investimentos!B9/Despesas!B9)</f>
        <v>0</v>
      </c>
      <c r="D3" t="s">
        <v>70</v>
      </c>
      <c r="E3" t="str">
        <f>IF(E2&gt;=90,"Diamante",IF(E2&gt;=75,"Ouro",IF(E2&gt;=60,"Prata",IF(E2&gt;=40,"Bronze","Reconstrucao"))))</f>
        <v>Reconstrucao</v>
      </c>
    </row>
    <row r="4" spans="1:5">
      <c r="A4" t="s">
        <v>71</v>
      </c>
      <c r="B4">
        <f>IF(Renda!B8=0,0,(Renda!B8-Despesas!B9)/Renda!B8)</f>
        <v>0.1875</v>
      </c>
    </row>
    <row r="5" spans="1:5">
      <c r="A5" t="s">
        <v>72</v>
      </c>
      <c r="B5">
        <f>IF(Despesas!B9=0,0,Despesas!E3/Despesas!B9)</f>
        <v>12</v>
      </c>
    </row>
    <row r="6" spans="1:5">
      <c r="A6" t="s">
        <v>25</v>
      </c>
      <c r="B6">
        <f>Investimentos!B9</f>
        <v>0</v>
      </c>
    </row>
    <row r="7" spans="1:5">
      <c r="A7" t="s">
        <v>73</v>
      </c>
      <c r="B7">
        <f>Patrimonio!B6-Dividas!B7</f>
        <v>92400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R5" sqref="R5"/>
    </sheetView>
  </sheetViews>
  <sheetFormatPr defaultRowHeight="15"/>
  <cols>
    <col min="1" max="1" width="33.28515625" bestFit="1" customWidth="1"/>
  </cols>
  <sheetData>
    <row r="1" spans="1:4">
      <c r="A1" s="1" t="s">
        <v>74</v>
      </c>
    </row>
    <row r="2" spans="1:4">
      <c r="D2" t="s">
        <v>75</v>
      </c>
    </row>
    <row r="3" spans="1:4">
      <c r="D3" t="str">
        <f>IF(Laudo!E2&gt;=75,"VERDE",IF(Laudo!E2&gt;=50,"AMARELO","VERMELHO"))</f>
        <v>VERMELHO</v>
      </c>
    </row>
    <row r="4" spans="1:4">
      <c r="A4" t="s">
        <v>76</v>
      </c>
      <c r="B4">
        <f>Renda!B8</f>
        <v>3200</v>
      </c>
    </row>
    <row r="5" spans="1:4">
      <c r="A5" t="s">
        <v>77</v>
      </c>
      <c r="B5">
        <f>Despesas!B9</f>
        <v>2600</v>
      </c>
    </row>
    <row r="6" spans="1:4">
      <c r="A6" t="s">
        <v>78</v>
      </c>
      <c r="B6">
        <f>Despesas!E3</f>
        <v>31200</v>
      </c>
    </row>
    <row r="7" spans="1:4">
      <c r="A7" t="s">
        <v>79</v>
      </c>
      <c r="B7">
        <f>Dividas!B7</f>
        <v>42600</v>
      </c>
    </row>
    <row r="8" spans="1:4">
      <c r="A8" t="s">
        <v>80</v>
      </c>
      <c r="B8">
        <f>Laudo!B7</f>
        <v>92400</v>
      </c>
    </row>
    <row r="9" spans="1:4">
      <c r="A9" t="s">
        <v>81</v>
      </c>
      <c r="B9">
        <f>Laudo!E2</f>
        <v>0</v>
      </c>
    </row>
    <row r="12" spans="1:4">
      <c r="A12" t="s">
        <v>67</v>
      </c>
      <c r="B12">
        <f>Laudo!B2</f>
        <v>13.3125</v>
      </c>
    </row>
    <row r="13" spans="1:4">
      <c r="A13" t="s">
        <v>69</v>
      </c>
      <c r="B13">
        <f>Laudo!B3</f>
        <v>0</v>
      </c>
    </row>
    <row r="14" spans="1:4">
      <c r="A14" t="s">
        <v>71</v>
      </c>
      <c r="B14">
        <f>Laudo!B4</f>
        <v>0.1875</v>
      </c>
    </row>
    <row r="15" spans="1:4">
      <c r="A15" t="s">
        <v>72</v>
      </c>
      <c r="B15">
        <f>Laudo!B5</f>
        <v>12</v>
      </c>
    </row>
    <row r="16" spans="1:4">
      <c r="A16" t="s">
        <v>25</v>
      </c>
      <c r="B16">
        <f>Laudo!B6</f>
        <v>0</v>
      </c>
    </row>
    <row r="17" spans="1:2">
      <c r="A17" t="s">
        <v>73</v>
      </c>
      <c r="B17">
        <f>Laudo!B7</f>
        <v>92400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Doria Alves Pereira</dc:creator>
  <cp:keywords/>
  <dc:description/>
  <cp:lastModifiedBy/>
  <cp:revision/>
  <dcterms:created xsi:type="dcterms:W3CDTF">2026-07-30T13:06:00Z</dcterms:created>
  <dcterms:modified xsi:type="dcterms:W3CDTF">2026-09-26T18:33:39Z</dcterms:modified>
  <cp:category/>
  <cp:contentStatus/>
</cp:coreProperties>
</file>