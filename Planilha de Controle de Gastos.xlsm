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adori\Downloads\"/>
    </mc:Choice>
  </mc:AlternateContent>
  <xr:revisionPtr revIDLastSave="0" documentId="13_ncr:1_{401003F7-ADE1-4D47-AE01-F7C9E74897BA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2026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1" l="1"/>
  <c r="O107" i="1" s="1"/>
  <c r="O35" i="1"/>
  <c r="O109" i="1" s="1"/>
  <c r="O66" i="1"/>
  <c r="O110" i="1" s="1"/>
  <c r="O85" i="1"/>
  <c r="O111" i="1" s="1"/>
  <c r="N11" i="1"/>
  <c r="N107" i="1" s="1"/>
  <c r="N35" i="1"/>
  <c r="N109" i="1"/>
  <c r="N66" i="1"/>
  <c r="N110" i="1" s="1"/>
  <c r="N85" i="1"/>
  <c r="N111" i="1" s="1"/>
  <c r="M11" i="1"/>
  <c r="M107" i="1" s="1"/>
  <c r="M35" i="1"/>
  <c r="M109" i="1" s="1"/>
  <c r="M66" i="1"/>
  <c r="M110" i="1" s="1"/>
  <c r="M85" i="1"/>
  <c r="M111" i="1" s="1"/>
  <c r="L11" i="1"/>
  <c r="L107" i="1" s="1"/>
  <c r="L35" i="1"/>
  <c r="L109" i="1" s="1"/>
  <c r="L66" i="1"/>
  <c r="L110" i="1" s="1"/>
  <c r="L85" i="1"/>
  <c r="L111" i="1" s="1"/>
  <c r="K11" i="1"/>
  <c r="K107" i="1" s="1"/>
  <c r="K35" i="1"/>
  <c r="K109" i="1" s="1"/>
  <c r="K66" i="1"/>
  <c r="K110" i="1" s="1"/>
  <c r="K85" i="1"/>
  <c r="K111" i="1" s="1"/>
  <c r="J11" i="1"/>
  <c r="J107" i="1" s="1"/>
  <c r="J35" i="1"/>
  <c r="J109" i="1" s="1"/>
  <c r="J66" i="1"/>
  <c r="J110" i="1" s="1"/>
  <c r="J85" i="1"/>
  <c r="J111" i="1" s="1"/>
  <c r="I11" i="1"/>
  <c r="I107" i="1"/>
  <c r="I35" i="1"/>
  <c r="I109" i="1" s="1"/>
  <c r="I66" i="1"/>
  <c r="I110" i="1" s="1"/>
  <c r="I85" i="1"/>
  <c r="I111" i="1" s="1"/>
  <c r="H11" i="1"/>
  <c r="H107" i="1"/>
  <c r="H35" i="1"/>
  <c r="H109" i="1" s="1"/>
  <c r="H66" i="1"/>
  <c r="H110" i="1" s="1"/>
  <c r="H85" i="1"/>
  <c r="H111" i="1" s="1"/>
  <c r="G11" i="1"/>
  <c r="G107" i="1" s="1"/>
  <c r="G35" i="1"/>
  <c r="G109" i="1" s="1"/>
  <c r="G66" i="1"/>
  <c r="G110" i="1"/>
  <c r="G85" i="1"/>
  <c r="G111" i="1" s="1"/>
  <c r="F11" i="1"/>
  <c r="F107" i="1" s="1"/>
  <c r="F35" i="1"/>
  <c r="F109" i="1" s="1"/>
  <c r="F66" i="1"/>
  <c r="F110" i="1" s="1"/>
  <c r="F85" i="1"/>
  <c r="F111" i="1" s="1"/>
  <c r="E11" i="1"/>
  <c r="E107" i="1" s="1"/>
  <c r="E35" i="1"/>
  <c r="E109" i="1" s="1"/>
  <c r="E66" i="1"/>
  <c r="E110" i="1" s="1"/>
  <c r="E85" i="1"/>
  <c r="E111" i="1" s="1"/>
  <c r="D11" i="1"/>
  <c r="D107" i="1" s="1"/>
  <c r="D35" i="1"/>
  <c r="D109" i="1" s="1"/>
  <c r="D66" i="1"/>
  <c r="D110" i="1" s="1"/>
  <c r="D85" i="1"/>
  <c r="D111" i="1" s="1"/>
  <c r="O89" i="1"/>
  <c r="O103" i="1" s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N89" i="1"/>
  <c r="N103" i="1" s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M89" i="1"/>
  <c r="M103" i="1" s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L89" i="1"/>
  <c r="L103" i="1" s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K89" i="1"/>
  <c r="K103" i="1" s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J89" i="1"/>
  <c r="J103" i="1" s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I89" i="1"/>
  <c r="I103" i="1" s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H89" i="1"/>
  <c r="H103" i="1" s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G89" i="1"/>
  <c r="G103" i="1" s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F89" i="1"/>
  <c r="F103" i="1" s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E89" i="1"/>
  <c r="E103" i="1" s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D89" i="1"/>
  <c r="D103" i="1" s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G112" i="1" l="1"/>
  <c r="N112" i="1"/>
  <c r="N114" i="1" s="1"/>
  <c r="M112" i="1"/>
  <c r="M114" i="1"/>
  <c r="O112" i="1"/>
  <c r="O114" i="1" s="1"/>
  <c r="D112" i="1"/>
  <c r="D114" i="1" s="1"/>
  <c r="F112" i="1"/>
  <c r="F114" i="1" s="1"/>
  <c r="J112" i="1"/>
  <c r="J114" i="1" s="1"/>
  <c r="L112" i="1"/>
  <c r="L114" i="1"/>
  <c r="E112" i="1"/>
  <c r="E114" i="1" s="1"/>
  <c r="K112" i="1"/>
  <c r="K114" i="1" s="1"/>
  <c r="G114" i="1"/>
  <c r="I112" i="1"/>
  <c r="I114" i="1" s="1"/>
  <c r="H112" i="1"/>
  <c r="H114" i="1" s="1"/>
</calcChain>
</file>

<file path=xl/sharedStrings.xml><?xml version="1.0" encoding="utf-8"?>
<sst xmlns="http://schemas.openxmlformats.org/spreadsheetml/2006/main" count="275" uniqueCount="119">
  <si>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</si>
  <si>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</si>
  <si>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</si>
  <si>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</si>
  <si>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</si>
  <si>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</si>
  <si>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</si>
  <si>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</si>
  <si>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</si>
  <si>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</si>
  <si>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</si>
  <si>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</si>
  <si>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</si>
  <si>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RECEITAS</t>
  </si>
  <si>
    <t>Itens</t>
  </si>
  <si>
    <t>Valor</t>
  </si>
  <si>
    <t>Salário</t>
  </si>
  <si>
    <t>13°. Salário</t>
  </si>
  <si>
    <t>Pis</t>
  </si>
  <si>
    <t xml:space="preserve">Férias </t>
  </si>
  <si>
    <t>Investimentos</t>
  </si>
  <si>
    <t xml:space="preserve">Outras </t>
  </si>
  <si>
    <t xml:space="preserve">Total Receitas </t>
  </si>
  <si>
    <t>DESPESAS
VALORES
FIXOS</t>
  </si>
  <si>
    <t>Habitação</t>
  </si>
  <si>
    <t>Aluguel</t>
  </si>
  <si>
    <t>Condominio</t>
  </si>
  <si>
    <t>Prestação imóvel</t>
  </si>
  <si>
    <t>Seguro Imóvel</t>
  </si>
  <si>
    <t>Diarista</t>
  </si>
  <si>
    <t>Mensalista</t>
  </si>
  <si>
    <t>Transporte</t>
  </si>
  <si>
    <t>Prestação carro</t>
  </si>
  <si>
    <t>Seguro Carro</t>
  </si>
  <si>
    <t>Estacionamento</t>
  </si>
  <si>
    <t>Saúde</t>
  </si>
  <si>
    <t>Plano de Saúde</t>
  </si>
  <si>
    <t>Plano Odontológico</t>
  </si>
  <si>
    <t>Seguro de Vida</t>
  </si>
  <si>
    <t>Atend. Multiprofissional</t>
  </si>
  <si>
    <t>Educação</t>
  </si>
  <si>
    <t>Colégio</t>
  </si>
  <si>
    <t>Faculdade</t>
  </si>
  <si>
    <t>Especialização</t>
  </si>
  <si>
    <t>Cursos</t>
  </si>
  <si>
    <t>Impostos</t>
  </si>
  <si>
    <t>IPTU</t>
  </si>
  <si>
    <t>IPVA</t>
  </si>
  <si>
    <t>IRRF</t>
  </si>
  <si>
    <t>Total Despesas Fixas</t>
  </si>
  <si>
    <t>DESPESAS
VALORES
VARIÁVEIS</t>
  </si>
  <si>
    <t>Categoria</t>
  </si>
  <si>
    <t>Luz</t>
  </si>
  <si>
    <t>Água</t>
  </si>
  <si>
    <t>Telefone</t>
  </si>
  <si>
    <t>Telefone Celular</t>
  </si>
  <si>
    <t>Gás</t>
  </si>
  <si>
    <t>Serviço TV</t>
  </si>
  <si>
    <t>Serviço Internet</t>
  </si>
  <si>
    <t>Metrô</t>
  </si>
  <si>
    <t>Combustível</t>
  </si>
  <si>
    <t>Ônibus</t>
  </si>
  <si>
    <t>Táxi/Uber</t>
  </si>
  <si>
    <t>Alimentação</t>
  </si>
  <si>
    <t>Supermercado</t>
  </si>
  <si>
    <t>Feira</t>
  </si>
  <si>
    <t>Açougue</t>
  </si>
  <si>
    <t>Padaria</t>
  </si>
  <si>
    <t>Farmácia</t>
  </si>
  <si>
    <t>Cuidados
Pessoais</t>
  </si>
  <si>
    <t>Manicure</t>
  </si>
  <si>
    <t xml:space="preserve">Barbearia </t>
  </si>
  <si>
    <t>Academia</t>
  </si>
  <si>
    <t>Clube</t>
  </si>
  <si>
    <t>Animal 
Estimação</t>
  </si>
  <si>
    <t>Veterinário</t>
  </si>
  <si>
    <t>Banho</t>
  </si>
  <si>
    <t>Tosa</t>
  </si>
  <si>
    <t>Ração</t>
  </si>
  <si>
    <t>Linhas de Crédito</t>
  </si>
  <si>
    <t>Juros cheque especial</t>
  </si>
  <si>
    <t>Juros cartão de crédito</t>
  </si>
  <si>
    <t>Empréstimo pessoal</t>
  </si>
  <si>
    <t>Total Despesas Variáveis</t>
  </si>
  <si>
    <t>DESPESAS
 EXTRAS</t>
  </si>
  <si>
    <t>Manuteção/Prevenção</t>
  </si>
  <si>
    <t>Carro</t>
  </si>
  <si>
    <t>Casa</t>
  </si>
  <si>
    <t>Material Escolar</t>
  </si>
  <si>
    <t>Uniforme</t>
  </si>
  <si>
    <t>Atividades Escolares</t>
  </si>
  <si>
    <t>Lazer</t>
  </si>
  <si>
    <t>Viagens</t>
  </si>
  <si>
    <t>Cinema</t>
  </si>
  <si>
    <t>Restaurantes</t>
  </si>
  <si>
    <t>Livraria</t>
  </si>
  <si>
    <t>Shows</t>
  </si>
  <si>
    <t>Revistas e Jornais</t>
  </si>
  <si>
    <t>Vestuário</t>
  </si>
  <si>
    <t>Roupas</t>
  </si>
  <si>
    <t>Calçados</t>
  </si>
  <si>
    <t>Acessórios</t>
  </si>
  <si>
    <t>Outros</t>
  </si>
  <si>
    <t>Presentes</t>
  </si>
  <si>
    <t>DESPESAS
VISÃO GERAL</t>
  </si>
  <si>
    <t>Investimento</t>
  </si>
  <si>
    <t>Imposto</t>
  </si>
  <si>
    <t>Cuidados Pessoais</t>
  </si>
  <si>
    <t>Animal Estimação</t>
  </si>
  <si>
    <t>Manutenção/Prevenção</t>
  </si>
  <si>
    <t>Despesas - Visão Geral</t>
  </si>
  <si>
    <t>Total de Receitas</t>
  </si>
  <si>
    <t>DESPESAS</t>
  </si>
  <si>
    <t>Despesas Valores Fixos</t>
  </si>
  <si>
    <t>Despesas Valores Variáveis</t>
  </si>
  <si>
    <t>Despesas Extras</t>
  </si>
  <si>
    <t>Total  de Despesas</t>
  </si>
  <si>
    <t>SALDO FINAL</t>
  </si>
  <si>
    <t>CONTROLE FINANCEIRO PESSOAL - MÉTODO A.D.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</si>
</sst>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;[Red]&quot;R$&quot;\ #,##0.00"/>
  </numFmts>
  <fonts count="15" x14ac:knownFonts="1">
    <font>
      <sz val="11"/>
      <color rgb="FF000000"/>
      <name val="Calibri"/>
      <scheme val="minor"/>
    </font>
    <font>
      <sz val="11"/>
      <color rgb="FF000000"/>
      <name val="Calibri"/>
    </font>
    <font>
      <b/>
      <sz val="11"/>
      <color rgb="FFFFFFFF"/>
      <name val="Calibri"/>
    </font>
    <font>
      <sz val="11"/>
      <name val="Calibri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2"/>
      <color rgb="FFFFFFFF"/>
      <name val="Calibri"/>
    </font>
    <font>
      <b/>
      <sz val="12"/>
      <color rgb="FF000000"/>
      <name val="Calibri"/>
    </font>
    <font>
      <sz val="10"/>
      <color rgb="FF000000"/>
      <name val="Calibri"/>
    </font>
    <font>
      <b/>
      <sz val="8"/>
      <color rgb="FF000000"/>
      <name val="Calibri"/>
    </font>
    <font>
      <b/>
      <sz val="10"/>
      <color rgb="FF000000"/>
      <name val="Calibri"/>
    </font>
    <font>
      <sz val="10"/>
      <name val="Open Sans"/>
    </font>
    <font>
      <b/>
      <sz val="24"/>
      <color rgb="FFFFFFFF"/>
      <name val="Calibri"/>
      <family val="2"/>
    </font>
    <font>
      <sz val="24"/>
      <name val="Calibri"/>
      <family val="2"/>
    </font>
    <font>
      <sz val="24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rgb="FFE7E6E6"/>
        <bgColor rgb="FFE7E6E6"/>
      </patternFill>
    </fill>
    <fill>
      <patternFill patternType="solid">
        <fgColor rgb="FF78CA88"/>
        <bgColor rgb="FF78CA88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164" fontId="1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8" fillId="0" borderId="0" xfId="0" applyNumberFormat="1" applyFont="1"/>
    <xf numFmtId="0" fontId="8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1" fillId="0" borderId="2" xfId="0" applyFont="1" applyBorder="1"/>
    <xf numFmtId="0" fontId="11" fillId="0" borderId="0" xfId="0" applyFont="1"/>
    <xf numFmtId="164" fontId="7" fillId="0" borderId="0" xfId="0" applyNumberFormat="1" applyFont="1"/>
    <xf numFmtId="0" fontId="10" fillId="0" borderId="0" xfId="0" applyFont="1" applyAlignment="1">
      <alignment horizontal="left"/>
    </xf>
    <xf numFmtId="164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164" fontId="6" fillId="4" borderId="1" xfId="0" applyNumberFormat="1" applyFont="1" applyFill="1" applyBorder="1"/>
    <xf numFmtId="0" fontId="6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10" fillId="3" borderId="1" xfId="0" applyFont="1" applyFill="1" applyBorder="1"/>
    <xf numFmtId="164" fontId="10" fillId="3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0" fillId="5" borderId="0" xfId="0" applyFill="1"/>
    <xf numFmtId="0" fontId="7" fillId="0" borderId="0" xfId="0" applyFont="1" applyAlignment="1">
      <alignment horizontal="center" vertical="center"/>
    </xf>
    <xf numFmtId="0" fontId="0" fillId="0" borderId="0" xfId="0"/>
    <xf numFmtId="0" fontId="6" fillId="4" borderId="1" xfId="0" applyFont="1" applyFill="1" applyBorder="1" applyAlignment="1">
      <alignment horizontal="right" vertical="center"/>
    </xf>
    <xf numFmtId="0" fontId="3" fillId="0" borderId="1" xfId="0" applyFont="1" applyBorder="1"/>
    <xf numFmtId="0" fontId="5" fillId="4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6" fillId="5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/>
    <xf numFmtId="0" fontId="14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1028700</xdr:colOff>
      <xdr:row>0</xdr:row>
      <xdr:rowOff>0</xdr:rowOff>
    </xdr:from>
    <xdr:ext cx="1504950" cy="457200"/>
    <xdr:sp macro="[0]!Macro1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351251" y="333375"/>
          <a:ext cx="1508124" cy="428625"/>
        </a:xfrm>
        <a:prstGeom prst="roundRect">
          <a:avLst/>
        </a:prstGeom>
        <a:solidFill>
          <a:schemeClr val="accent2"/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1600"/>
            <a:t>Limpar Dados</a:t>
          </a:r>
        </a:p>
      </xdr:txBody>
    </xdr:sp>
    <xdr:clientData fLocksWithSheet="0"/>
  </xdr:one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121920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9AB2F544-1207-510A-D550-79A89FE4035D}"/>
            </a:ext>
          </a:extLst>
        </xdr:cNvPr>
        <xdr:cNvSpPr>
          <a:spLocks noChangeAspect="1" noChangeArrowheads="1"/>
        </xdr:cNvSpPr>
      </xdr:nvSpPr>
      <xdr:spPr bwMode="auto">
        <a:xfrm>
          <a:off x="5966460" y="266623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304800</xdr:colOff>
      <xdr:row>133</xdr:row>
      <xdr:rowOff>121920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5CC3907C-51CA-1750-1461-443E049B705A}"/>
            </a:ext>
          </a:extLst>
        </xdr:cNvPr>
        <xdr:cNvSpPr>
          <a:spLocks noChangeAspect="1" noChangeArrowheads="1"/>
        </xdr:cNvSpPr>
      </xdr:nvSpPr>
      <xdr:spPr bwMode="auto">
        <a:xfrm>
          <a:off x="5966460" y="26471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304800</xdr:colOff>
      <xdr:row>129</xdr:row>
      <xdr:rowOff>121920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DB8211F7-D4D2-5A7B-5472-CDC955E16C07}"/>
            </a:ext>
          </a:extLst>
        </xdr:cNvPr>
        <xdr:cNvSpPr>
          <a:spLocks noChangeAspect="1" noChangeArrowheads="1"/>
        </xdr:cNvSpPr>
      </xdr:nvSpPr>
      <xdr:spPr bwMode="auto">
        <a:xfrm>
          <a:off x="4709160" y="2570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304800</xdr:colOff>
      <xdr:row>7</xdr:row>
      <xdr:rowOff>121920</xdr:rowOff>
    </xdr:to>
    <xdr:sp macro="" textlink="">
      <xdr:nvSpPr>
        <xdr:cNvPr id="1031" name="AutoShape 7">
          <a:extLst>
            <a:ext uri="{FF2B5EF4-FFF2-40B4-BE49-F238E27FC236}">
              <a16:creationId xmlns:a16="http://schemas.microsoft.com/office/drawing/2014/main" id="{C47DEC1E-17A4-E21B-142D-054C8CA7E178}"/>
            </a:ext>
          </a:extLst>
        </xdr:cNvPr>
        <xdr:cNvSpPr>
          <a:spLocks noChangeAspect="1" noChangeArrowheads="1"/>
        </xdr:cNvSpPr>
      </xdr:nvSpPr>
      <xdr:spPr bwMode="auto">
        <a:xfrm>
          <a:off x="19392900" y="1973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1</xdr:row>
      <xdr:rowOff>0</xdr:rowOff>
    </xdr:from>
    <xdr:to>
      <xdr:col>16</xdr:col>
      <xdr:colOff>304800</xdr:colOff>
      <xdr:row>1</xdr:row>
      <xdr:rowOff>304800</xdr:rowOff>
    </xdr:to>
    <xdr:sp macro="" textlink="">
      <xdr:nvSpPr>
        <xdr:cNvPr id="1032" name="AutoShape 8">
          <a:extLst>
            <a:ext uri="{FF2B5EF4-FFF2-40B4-BE49-F238E27FC236}">
              <a16:creationId xmlns:a16="http://schemas.microsoft.com/office/drawing/2014/main" id="{D195B86E-87FE-ED2A-E33B-E6B09BF7E17A}"/>
            </a:ext>
          </a:extLst>
        </xdr:cNvPr>
        <xdr:cNvSpPr>
          <a:spLocks noChangeAspect="1" noChangeArrowheads="1"/>
        </xdr:cNvSpPr>
      </xdr:nvSpPr>
      <xdr:spPr bwMode="auto">
        <a:xfrm>
          <a:off x="20017740" y="182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304800</xdr:colOff>
      <xdr:row>5</xdr:row>
      <xdr:rowOff>121920</xdr:rowOff>
    </xdr:to>
    <xdr:sp macro="" textlink="">
      <xdr:nvSpPr>
        <xdr:cNvPr id="1034" name="AutoShape 10">
          <a:extLst>
            <a:ext uri="{FF2B5EF4-FFF2-40B4-BE49-F238E27FC236}">
              <a16:creationId xmlns:a16="http://schemas.microsoft.com/office/drawing/2014/main" id="{2F324B36-BC33-4162-6591-25EAA134605B}"/>
            </a:ext>
          </a:extLst>
        </xdr:cNvPr>
        <xdr:cNvSpPr>
          <a:spLocks noChangeAspect="1" noChangeArrowheads="1"/>
        </xdr:cNvSpPr>
      </xdr:nvSpPr>
      <xdr:spPr bwMode="auto">
        <a:xfrm>
          <a:off x="20017740" y="160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P116"/>
  <sheetViews>
    <sheetView tabSelected="1" workbookViewId="0">
      <selection sqref="A1:O2"/>
    </sheetView>
  </sheetViews>
  <sheetFormatPr defaultColWidth="14.44140625" defaultRowHeight="14.4" x14ac:dyDescent="0.3"/>
  <cols>
    <col min="1" max="1" width="15" customWidth="1"/>
    <col min="2" max="2" width="26.33203125" customWidth="1"/>
    <col min="3" max="3" width="27.33203125" customWidth="1"/>
    <col min="4" max="4" width="18.33203125" customWidth="1"/>
    <col min="5" max="5" width="17.5546875" customWidth="1"/>
    <col min="6" max="7" width="18" customWidth="1"/>
    <col min="8" max="8" width="17.5546875" customWidth="1"/>
    <col min="9" max="9" width="18" customWidth="1"/>
    <col min="10" max="11" width="17.5546875" customWidth="1"/>
    <col min="12" max="13" width="18" customWidth="1"/>
    <col min="14" max="14" width="17.5546875" customWidth="1"/>
    <col min="15" max="15" width="18" customWidth="1"/>
    <col min="16" max="16" width="9.109375" customWidth="1"/>
  </cols>
  <sheetData>
    <row r="1" spans="1:16" x14ac:dyDescent="0.3">
      <c r="A1" s="40" t="s">
        <v>118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1"/>
    </row>
    <row r="2" spans="1:16" ht="83.4" customHeight="1" x14ac:dyDescent="0.3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1"/>
    </row>
    <row r="3" spans="1:16" x14ac:dyDescent="0.3">
      <c r="A3" s="18" t="s">
        <v>0</v>
      </c>
      <c r="B3" s="19"/>
      <c r="C3" s="20"/>
      <c r="D3" s="18" t="s">
        <v>1</v>
      </c>
      <c r="E3" s="18" t="s">
        <v>2</v>
      </c>
      <c r="F3" s="18" t="s">
        <v>3</v>
      </c>
      <c r="G3" s="18" t="s">
        <v>4</v>
      </c>
      <c r="H3" s="18" t="s">
        <v>5</v>
      </c>
      <c r="I3" s="18" t="s">
        <v>6</v>
      </c>
      <c r="J3" s="18" t="s">
        <v>7</v>
      </c>
      <c r="K3" s="18" t="s">
        <v>8</v>
      </c>
      <c r="L3" s="18" t="s">
        <v>9</v>
      </c>
      <c r="M3" s="18" t="s">
        <v>10</v>
      </c>
      <c r="N3" s="18" t="s">
        <v>11</v>
      </c>
      <c r="O3" s="18" t="s">
        <v>12</v>
      </c>
      <c r="P3" s="2"/>
    </row>
    <row r="4" spans="1:16" x14ac:dyDescent="0.3">
      <c r="A4" s="37" t="s">
        <v>13</v>
      </c>
      <c r="B4" s="32"/>
      <c r="C4" s="3" t="s">
        <v>14</v>
      </c>
      <c r="D4" s="3" t="s">
        <v>15</v>
      </c>
      <c r="E4" s="3" t="s">
        <v>15</v>
      </c>
      <c r="F4" s="3" t="s">
        <v>15</v>
      </c>
      <c r="G4" s="3" t="s">
        <v>15</v>
      </c>
      <c r="H4" s="3" t="s">
        <v>15</v>
      </c>
      <c r="I4" s="3" t="s">
        <v>15</v>
      </c>
      <c r="J4" s="3" t="s">
        <v>15</v>
      </c>
      <c r="K4" s="3" t="s">
        <v>15</v>
      </c>
      <c r="L4" s="3" t="s">
        <v>15</v>
      </c>
      <c r="M4" s="3" t="s">
        <v>15</v>
      </c>
      <c r="N4" s="3" t="s">
        <v>15</v>
      </c>
      <c r="O4" s="3" t="s">
        <v>15</v>
      </c>
      <c r="P4" s="1"/>
    </row>
    <row r="5" spans="1:16" x14ac:dyDescent="0.3">
      <c r="A5" s="32"/>
      <c r="B5" s="30"/>
      <c r="C5" s="1" t="s">
        <v>16</v>
      </c>
      <c r="D5" s="4"/>
      <c r="E5" s="4"/>
      <c r="F5" s="4"/>
      <c r="G5" s="4"/>
      <c r="H5" s="4"/>
      <c r="I5" s="4"/>
      <c r="J5" s="4"/>
      <c r="K5" s="4"/>
      <c r="L5" s="4"/>
      <c r="M5" s="4">
        <v>2243.66</v>
      </c>
      <c r="N5" s="4"/>
      <c r="O5" s="4"/>
      <c r="P5" s="1"/>
    </row>
    <row r="6" spans="1:16" x14ac:dyDescent="0.3">
      <c r="A6" s="32"/>
      <c r="B6" s="30"/>
      <c r="C6" s="1" t="s">
        <v>17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1"/>
    </row>
    <row r="7" spans="1:16" x14ac:dyDescent="0.3">
      <c r="A7" s="32"/>
      <c r="B7" s="30"/>
      <c r="C7" s="1" t="s">
        <v>18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6" x14ac:dyDescent="0.3">
      <c r="A8" s="32"/>
      <c r="B8" s="30"/>
      <c r="C8" s="1" t="s">
        <v>19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1"/>
    </row>
    <row r="9" spans="1:16" x14ac:dyDescent="0.3">
      <c r="A9" s="32"/>
      <c r="B9" s="30"/>
      <c r="C9" s="1" t="s">
        <v>20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1"/>
    </row>
    <row r="10" spans="1:16" x14ac:dyDescent="0.3">
      <c r="A10" s="32"/>
      <c r="B10" s="30"/>
      <c r="C10" s="1" t="s">
        <v>21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1"/>
    </row>
    <row r="11" spans="1:16" ht="18" x14ac:dyDescent="0.35">
      <c r="A11" s="33" t="s">
        <v>22</v>
      </c>
      <c r="B11" s="32"/>
      <c r="C11" s="32"/>
      <c r="D11" s="21">
        <f t="shared" ref="D11:O11" si="0">SUM(D5:D10)</f>
        <v>0</v>
      </c>
      <c r="E11" s="21">
        <f t="shared" si="0"/>
        <v>0</v>
      </c>
      <c r="F11" s="21">
        <f t="shared" si="0"/>
        <v>0</v>
      </c>
      <c r="G11" s="21">
        <f t="shared" si="0"/>
        <v>0</v>
      </c>
      <c r="H11" s="21">
        <f t="shared" si="0"/>
        <v>0</v>
      </c>
      <c r="I11" s="21">
        <f t="shared" si="0"/>
        <v>0</v>
      </c>
      <c r="J11" s="21">
        <f t="shared" si="0"/>
        <v>0</v>
      </c>
      <c r="K11" s="21">
        <f t="shared" si="0"/>
        <v>0</v>
      </c>
      <c r="L11" s="21">
        <f t="shared" si="0"/>
        <v>0</v>
      </c>
      <c r="M11" s="21">
        <f t="shared" si="0"/>
        <v>2243.66</v>
      </c>
      <c r="N11" s="21">
        <f t="shared" si="0"/>
        <v>0</v>
      </c>
      <c r="O11" s="21">
        <f t="shared" si="0"/>
        <v>0</v>
      </c>
      <c r="P11" s="1"/>
    </row>
    <row r="12" spans="1:16" ht="15.6" x14ac:dyDescent="0.3">
      <c r="A12" s="34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1"/>
    </row>
    <row r="13" spans="1:16" ht="15.6" x14ac:dyDescent="0.3">
      <c r="A13" s="22" t="s">
        <v>0</v>
      </c>
      <c r="B13" s="22"/>
      <c r="C13" s="23"/>
      <c r="D13" s="22" t="s">
        <v>1</v>
      </c>
      <c r="E13" s="22" t="s">
        <v>2</v>
      </c>
      <c r="F13" s="22" t="s">
        <v>3</v>
      </c>
      <c r="G13" s="22" t="s">
        <v>4</v>
      </c>
      <c r="H13" s="22" t="s">
        <v>5</v>
      </c>
      <c r="I13" s="22" t="s">
        <v>6</v>
      </c>
      <c r="J13" s="22" t="s">
        <v>7</v>
      </c>
      <c r="K13" s="22" t="s">
        <v>8</v>
      </c>
      <c r="L13" s="22" t="s">
        <v>9</v>
      </c>
      <c r="M13" s="22" t="s">
        <v>10</v>
      </c>
      <c r="N13" s="22" t="s">
        <v>11</v>
      </c>
      <c r="O13" s="22" t="s">
        <v>12</v>
      </c>
      <c r="P13" s="2"/>
    </row>
    <row r="14" spans="1:16" x14ac:dyDescent="0.3">
      <c r="A14" s="35" t="s">
        <v>23</v>
      </c>
      <c r="B14" s="6"/>
      <c r="C14" s="7" t="s">
        <v>14</v>
      </c>
      <c r="D14" s="7" t="s">
        <v>15</v>
      </c>
      <c r="E14" s="7" t="s">
        <v>15</v>
      </c>
      <c r="F14" s="7" t="s">
        <v>15</v>
      </c>
      <c r="G14" s="7" t="s">
        <v>15</v>
      </c>
      <c r="H14" s="7" t="s">
        <v>15</v>
      </c>
      <c r="I14" s="7" t="s">
        <v>15</v>
      </c>
      <c r="J14" s="7" t="s">
        <v>15</v>
      </c>
      <c r="K14" s="7" t="s">
        <v>15</v>
      </c>
      <c r="L14" s="7" t="s">
        <v>15</v>
      </c>
      <c r="M14" s="7" t="s">
        <v>15</v>
      </c>
      <c r="N14" s="7" t="s">
        <v>15</v>
      </c>
      <c r="O14" s="7" t="s">
        <v>15</v>
      </c>
      <c r="P14" s="1"/>
    </row>
    <row r="15" spans="1:16" x14ac:dyDescent="0.3">
      <c r="A15" s="27"/>
      <c r="B15" s="36" t="s">
        <v>24</v>
      </c>
      <c r="C15" s="9" t="s">
        <v>25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"/>
    </row>
    <row r="16" spans="1:16" x14ac:dyDescent="0.3">
      <c r="A16" s="27"/>
      <c r="B16" s="30"/>
      <c r="C16" s="9" t="s">
        <v>26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1"/>
    </row>
    <row r="17" spans="1:16" x14ac:dyDescent="0.3">
      <c r="A17" s="27"/>
      <c r="B17" s="30"/>
      <c r="C17" s="9" t="s">
        <v>27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"/>
    </row>
    <row r="18" spans="1:16" x14ac:dyDescent="0.3">
      <c r="A18" s="27"/>
      <c r="B18" s="30"/>
      <c r="C18" s="9" t="s">
        <v>28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1"/>
    </row>
    <row r="19" spans="1:16" x14ac:dyDescent="0.3">
      <c r="A19" s="27"/>
      <c r="B19" s="30"/>
      <c r="C19" s="9" t="s">
        <v>29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"/>
    </row>
    <row r="20" spans="1:16" x14ac:dyDescent="0.3">
      <c r="A20" s="27"/>
      <c r="B20" s="30"/>
      <c r="C20" s="9" t="s">
        <v>30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"/>
    </row>
    <row r="21" spans="1:16" x14ac:dyDescent="0.3">
      <c r="A21" s="27"/>
      <c r="B21" s="36" t="s">
        <v>31</v>
      </c>
      <c r="C21" s="9" t="s">
        <v>32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"/>
    </row>
    <row r="22" spans="1:16" x14ac:dyDescent="0.3">
      <c r="A22" s="27"/>
      <c r="B22" s="30"/>
      <c r="C22" s="9" t="s">
        <v>33</v>
      </c>
      <c r="D22" s="8"/>
      <c r="E22" s="8"/>
      <c r="F22" s="8"/>
      <c r="G22" s="8"/>
      <c r="H22" s="8"/>
      <c r="I22" s="8"/>
      <c r="J22" s="8"/>
      <c r="K22" s="8"/>
      <c r="L22" s="8"/>
      <c r="M22" s="8">
        <v>121</v>
      </c>
      <c r="N22" s="8"/>
      <c r="O22" s="8"/>
      <c r="P22" s="1"/>
    </row>
    <row r="23" spans="1:16" x14ac:dyDescent="0.3">
      <c r="A23" s="27"/>
      <c r="B23" s="30"/>
      <c r="C23" s="9" t="s">
        <v>34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"/>
    </row>
    <row r="24" spans="1:16" x14ac:dyDescent="0.3">
      <c r="A24" s="27"/>
      <c r="B24" s="36" t="s">
        <v>35</v>
      </c>
      <c r="C24" s="9" t="s">
        <v>36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"/>
    </row>
    <row r="25" spans="1:16" x14ac:dyDescent="0.3">
      <c r="A25" s="27"/>
      <c r="B25" s="30"/>
      <c r="C25" s="9" t="s">
        <v>37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"/>
    </row>
    <row r="26" spans="1:16" x14ac:dyDescent="0.3">
      <c r="A26" s="27"/>
      <c r="B26" s="30"/>
      <c r="C26" s="9" t="s">
        <v>38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1"/>
    </row>
    <row r="27" spans="1:16" x14ac:dyDescent="0.3">
      <c r="A27" s="27"/>
      <c r="B27" s="30"/>
      <c r="C27" s="9" t="s">
        <v>39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"/>
    </row>
    <row r="28" spans="1:16" x14ac:dyDescent="0.3">
      <c r="A28" s="27"/>
      <c r="B28" s="36" t="s">
        <v>40</v>
      </c>
      <c r="C28" s="9" t="s">
        <v>41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1"/>
    </row>
    <row r="29" spans="1:16" x14ac:dyDescent="0.3">
      <c r="A29" s="27"/>
      <c r="B29" s="30"/>
      <c r="C29" s="9" t="s">
        <v>42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1"/>
    </row>
    <row r="30" spans="1:16" x14ac:dyDescent="0.3">
      <c r="A30" s="27"/>
      <c r="B30" s="30"/>
      <c r="C30" s="9" t="s">
        <v>43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1"/>
    </row>
    <row r="31" spans="1:16" x14ac:dyDescent="0.3">
      <c r="A31" s="27"/>
      <c r="B31" s="30"/>
      <c r="C31" s="9" t="s">
        <v>44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1"/>
    </row>
    <row r="32" spans="1:16" x14ac:dyDescent="0.3">
      <c r="A32" s="27"/>
      <c r="B32" s="38" t="s">
        <v>45</v>
      </c>
      <c r="C32" s="9" t="s">
        <v>46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1"/>
    </row>
    <row r="33" spans="1:16" x14ac:dyDescent="0.3">
      <c r="A33" s="27"/>
      <c r="B33" s="30"/>
      <c r="C33" s="9" t="s">
        <v>47</v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1"/>
    </row>
    <row r="34" spans="1:16" x14ac:dyDescent="0.3">
      <c r="A34" s="27"/>
      <c r="B34" s="30"/>
      <c r="C34" s="9" t="s">
        <v>48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1"/>
    </row>
    <row r="35" spans="1:16" ht="18" x14ac:dyDescent="0.35">
      <c r="A35" s="33" t="s">
        <v>49</v>
      </c>
      <c r="B35" s="32"/>
      <c r="C35" s="32"/>
      <c r="D35" s="21">
        <f t="shared" ref="D35:O35" si="1">SUM(D15:D34)</f>
        <v>0</v>
      </c>
      <c r="E35" s="21">
        <f t="shared" si="1"/>
        <v>0</v>
      </c>
      <c r="F35" s="21">
        <f t="shared" si="1"/>
        <v>0</v>
      </c>
      <c r="G35" s="21">
        <f t="shared" si="1"/>
        <v>0</v>
      </c>
      <c r="H35" s="21">
        <f t="shared" si="1"/>
        <v>0</v>
      </c>
      <c r="I35" s="21">
        <f t="shared" si="1"/>
        <v>0</v>
      </c>
      <c r="J35" s="21">
        <f t="shared" si="1"/>
        <v>0</v>
      </c>
      <c r="K35" s="21">
        <f t="shared" si="1"/>
        <v>0</v>
      </c>
      <c r="L35" s="21">
        <f t="shared" si="1"/>
        <v>0</v>
      </c>
      <c r="M35" s="21">
        <f t="shared" si="1"/>
        <v>121</v>
      </c>
      <c r="N35" s="21">
        <f t="shared" si="1"/>
        <v>0</v>
      </c>
      <c r="O35" s="21">
        <f t="shared" si="1"/>
        <v>0</v>
      </c>
      <c r="P35" s="1"/>
    </row>
    <row r="36" spans="1:16" x14ac:dyDescent="0.3">
      <c r="A36" s="3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1"/>
    </row>
    <row r="37" spans="1:16" ht="15.6" x14ac:dyDescent="0.3">
      <c r="A37" s="22" t="s">
        <v>0</v>
      </c>
      <c r="B37" s="22"/>
      <c r="C37" s="23"/>
      <c r="D37" s="22" t="s">
        <v>1</v>
      </c>
      <c r="E37" s="22" t="s">
        <v>2</v>
      </c>
      <c r="F37" s="22" t="s">
        <v>3</v>
      </c>
      <c r="G37" s="22" t="s">
        <v>4</v>
      </c>
      <c r="H37" s="22" t="s">
        <v>5</v>
      </c>
      <c r="I37" s="22" t="s">
        <v>6</v>
      </c>
      <c r="J37" s="22" t="s">
        <v>7</v>
      </c>
      <c r="K37" s="22" t="s">
        <v>8</v>
      </c>
      <c r="L37" s="22" t="s">
        <v>9</v>
      </c>
      <c r="M37" s="22" t="s">
        <v>10</v>
      </c>
      <c r="N37" s="22" t="s">
        <v>11</v>
      </c>
      <c r="O37" s="22" t="s">
        <v>12</v>
      </c>
      <c r="P37" s="2"/>
    </row>
    <row r="38" spans="1:16" x14ac:dyDescent="0.3">
      <c r="A38" s="35" t="s">
        <v>50</v>
      </c>
      <c r="B38" s="10" t="s">
        <v>51</v>
      </c>
      <c r="C38" s="10" t="s">
        <v>14</v>
      </c>
      <c r="D38" s="7" t="s">
        <v>15</v>
      </c>
      <c r="E38" s="7" t="s">
        <v>15</v>
      </c>
      <c r="F38" s="7" t="s">
        <v>15</v>
      </c>
      <c r="G38" s="7" t="s">
        <v>15</v>
      </c>
      <c r="H38" s="7" t="s">
        <v>15</v>
      </c>
      <c r="I38" s="7" t="s">
        <v>15</v>
      </c>
      <c r="J38" s="7" t="s">
        <v>15</v>
      </c>
      <c r="K38" s="7" t="s">
        <v>15</v>
      </c>
      <c r="L38" s="7" t="s">
        <v>15</v>
      </c>
      <c r="M38" s="7" t="s">
        <v>15</v>
      </c>
      <c r="N38" s="7" t="s">
        <v>15</v>
      </c>
      <c r="O38" s="7" t="s">
        <v>15</v>
      </c>
      <c r="P38" s="1"/>
    </row>
    <row r="39" spans="1:16" x14ac:dyDescent="0.3">
      <c r="A39" s="27"/>
      <c r="B39" s="36" t="s">
        <v>24</v>
      </c>
      <c r="C39" s="9" t="s">
        <v>52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1"/>
    </row>
    <row r="40" spans="1:16" x14ac:dyDescent="0.3">
      <c r="A40" s="27"/>
      <c r="B40" s="30"/>
      <c r="C40" s="9" t="s">
        <v>53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1"/>
    </row>
    <row r="41" spans="1:16" x14ac:dyDescent="0.3">
      <c r="A41" s="27"/>
      <c r="B41" s="30"/>
      <c r="C41" s="9" t="s">
        <v>54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"/>
    </row>
    <row r="42" spans="1:16" x14ac:dyDescent="0.3">
      <c r="A42" s="27"/>
      <c r="B42" s="30"/>
      <c r="C42" s="9" t="s">
        <v>55</v>
      </c>
      <c r="D42" s="8"/>
      <c r="E42" s="8"/>
      <c r="F42" s="8"/>
      <c r="G42" s="8"/>
      <c r="H42" s="8"/>
      <c r="I42" s="8"/>
      <c r="J42" s="8"/>
      <c r="K42" s="8"/>
      <c r="L42" s="8"/>
      <c r="M42" s="8">
        <v>100</v>
      </c>
      <c r="N42" s="8"/>
      <c r="O42" s="8"/>
      <c r="P42" s="1"/>
    </row>
    <row r="43" spans="1:16" x14ac:dyDescent="0.3">
      <c r="A43" s="27"/>
      <c r="B43" s="30"/>
      <c r="C43" s="9" t="s">
        <v>56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1"/>
    </row>
    <row r="44" spans="1:16" x14ac:dyDescent="0.3">
      <c r="A44" s="27"/>
      <c r="B44" s="30"/>
      <c r="C44" s="9" t="s">
        <v>57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1"/>
    </row>
    <row r="45" spans="1:16" x14ac:dyDescent="0.3">
      <c r="A45" s="27"/>
      <c r="B45" s="30"/>
      <c r="C45" s="9" t="s">
        <v>58</v>
      </c>
      <c r="D45" s="8"/>
      <c r="E45" s="8"/>
      <c r="F45" s="8"/>
      <c r="G45" s="8"/>
      <c r="H45" s="8"/>
      <c r="I45" s="8"/>
      <c r="J45" s="8"/>
      <c r="K45" s="8"/>
      <c r="L45" s="8"/>
      <c r="M45" s="8">
        <v>109</v>
      </c>
      <c r="N45" s="8"/>
      <c r="O45" s="8"/>
      <c r="P45" s="1"/>
    </row>
    <row r="46" spans="1:16" x14ac:dyDescent="0.3">
      <c r="A46" s="27"/>
      <c r="B46" s="36" t="s">
        <v>31</v>
      </c>
      <c r="C46" s="9" t="s">
        <v>59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1"/>
    </row>
    <row r="47" spans="1:16" x14ac:dyDescent="0.3">
      <c r="A47" s="27"/>
      <c r="B47" s="30"/>
      <c r="C47" s="9" t="s">
        <v>60</v>
      </c>
      <c r="D47" s="8"/>
      <c r="E47" s="8"/>
      <c r="F47" s="8"/>
      <c r="G47" s="8"/>
      <c r="H47" s="8"/>
      <c r="I47" s="8"/>
      <c r="J47" s="8"/>
      <c r="K47" s="8"/>
      <c r="L47" s="8"/>
      <c r="M47" s="8">
        <v>350</v>
      </c>
      <c r="N47" s="8"/>
      <c r="O47" s="8"/>
      <c r="P47" s="1"/>
    </row>
    <row r="48" spans="1:16" x14ac:dyDescent="0.3">
      <c r="A48" s="27"/>
      <c r="B48" s="30"/>
      <c r="C48" s="9" t="s">
        <v>61</v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1"/>
    </row>
    <row r="49" spans="1:16" x14ac:dyDescent="0.3">
      <c r="A49" s="27"/>
      <c r="B49" s="30"/>
      <c r="C49" s="9" t="s">
        <v>62</v>
      </c>
      <c r="D49" s="8"/>
      <c r="E49" s="8"/>
      <c r="F49" s="8"/>
      <c r="G49" s="8"/>
      <c r="H49" s="8"/>
      <c r="I49" s="8"/>
      <c r="J49" s="8"/>
      <c r="K49" s="8"/>
      <c r="L49" s="8"/>
      <c r="M49" s="8">
        <v>35</v>
      </c>
      <c r="N49" s="8"/>
      <c r="O49" s="8"/>
      <c r="P49" s="1"/>
    </row>
    <row r="50" spans="1:16" x14ac:dyDescent="0.3">
      <c r="A50" s="27"/>
      <c r="B50" s="36" t="s">
        <v>63</v>
      </c>
      <c r="C50" s="9" t="s">
        <v>64</v>
      </c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1"/>
    </row>
    <row r="51" spans="1:16" x14ac:dyDescent="0.3">
      <c r="A51" s="27"/>
      <c r="B51" s="30"/>
      <c r="C51" s="9" t="s">
        <v>65</v>
      </c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1"/>
    </row>
    <row r="52" spans="1:16" x14ac:dyDescent="0.3">
      <c r="A52" s="27"/>
      <c r="B52" s="30"/>
      <c r="C52" s="9" t="s">
        <v>66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1"/>
    </row>
    <row r="53" spans="1:16" x14ac:dyDescent="0.3">
      <c r="A53" s="27"/>
      <c r="B53" s="30"/>
      <c r="C53" s="9" t="s">
        <v>67</v>
      </c>
      <c r="D53" s="8"/>
      <c r="E53" s="8"/>
      <c r="F53" s="8"/>
      <c r="G53" s="8"/>
      <c r="H53" s="8"/>
      <c r="I53" s="8"/>
      <c r="J53" s="8"/>
      <c r="K53" s="8"/>
      <c r="L53" s="8"/>
      <c r="M53" s="8">
        <v>13</v>
      </c>
      <c r="N53" s="8"/>
      <c r="O53" s="8"/>
      <c r="P53" s="1"/>
    </row>
    <row r="54" spans="1:16" x14ac:dyDescent="0.3">
      <c r="A54" s="27"/>
      <c r="B54" s="11" t="s">
        <v>35</v>
      </c>
      <c r="C54" s="9" t="s">
        <v>68</v>
      </c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1"/>
    </row>
    <row r="55" spans="1:16" ht="15" x14ac:dyDescent="0.35">
      <c r="A55" s="27"/>
      <c r="B55" s="36" t="s">
        <v>69</v>
      </c>
      <c r="C55" s="9" t="s">
        <v>70</v>
      </c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12"/>
    </row>
    <row r="56" spans="1:16" ht="15" x14ac:dyDescent="0.35">
      <c r="A56" s="27"/>
      <c r="B56" s="30"/>
      <c r="C56" s="9" t="s">
        <v>71</v>
      </c>
      <c r="D56" s="8"/>
      <c r="E56" s="8"/>
      <c r="F56" s="8"/>
      <c r="G56" s="8"/>
      <c r="H56" s="8"/>
      <c r="I56" s="8"/>
      <c r="J56" s="8"/>
      <c r="K56" s="8"/>
      <c r="L56" s="8"/>
      <c r="M56" s="8">
        <v>30</v>
      </c>
      <c r="N56" s="8"/>
      <c r="O56" s="8"/>
      <c r="P56" s="12"/>
    </row>
    <row r="57" spans="1:16" ht="15" x14ac:dyDescent="0.35">
      <c r="A57" s="27"/>
      <c r="B57" s="30"/>
      <c r="C57" s="9" t="s">
        <v>72</v>
      </c>
      <c r="D57" s="8"/>
      <c r="E57" s="8"/>
      <c r="F57" s="8"/>
      <c r="G57" s="8"/>
      <c r="H57" s="8"/>
      <c r="I57" s="8"/>
      <c r="J57" s="8"/>
      <c r="K57" s="8"/>
      <c r="L57" s="8"/>
      <c r="M57" s="8">
        <v>99</v>
      </c>
      <c r="N57" s="8"/>
      <c r="O57" s="8"/>
      <c r="P57" s="12"/>
    </row>
    <row r="58" spans="1:16" ht="15" x14ac:dyDescent="0.35">
      <c r="A58" s="27"/>
      <c r="B58" s="30"/>
      <c r="C58" s="9" t="s">
        <v>73</v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12"/>
    </row>
    <row r="59" spans="1:16" ht="15" x14ac:dyDescent="0.35">
      <c r="A59" s="27"/>
      <c r="B59" s="36" t="s">
        <v>74</v>
      </c>
      <c r="C59" s="9" t="s">
        <v>75</v>
      </c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13"/>
    </row>
    <row r="60" spans="1:16" x14ac:dyDescent="0.3">
      <c r="A60" s="27"/>
      <c r="B60" s="30"/>
      <c r="C60" s="9" t="s">
        <v>76</v>
      </c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1"/>
    </row>
    <row r="61" spans="1:16" x14ac:dyDescent="0.3">
      <c r="A61" s="27"/>
      <c r="B61" s="30"/>
      <c r="C61" s="9" t="s">
        <v>77</v>
      </c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1"/>
    </row>
    <row r="62" spans="1:16" x14ac:dyDescent="0.3">
      <c r="A62" s="27"/>
      <c r="B62" s="30"/>
      <c r="C62" s="9" t="s">
        <v>78</v>
      </c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1"/>
    </row>
    <row r="63" spans="1:16" x14ac:dyDescent="0.3">
      <c r="A63" s="27"/>
      <c r="B63" s="36" t="s">
        <v>79</v>
      </c>
      <c r="C63" s="9" t="s">
        <v>80</v>
      </c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1"/>
    </row>
    <row r="64" spans="1:16" x14ac:dyDescent="0.3">
      <c r="A64" s="27"/>
      <c r="B64" s="30"/>
      <c r="C64" s="9" t="s">
        <v>81</v>
      </c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1"/>
    </row>
    <row r="65" spans="1:16" x14ac:dyDescent="0.3">
      <c r="A65" s="27"/>
      <c r="B65" s="30"/>
      <c r="C65" s="9" t="s">
        <v>82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1"/>
    </row>
    <row r="66" spans="1:16" ht="18" x14ac:dyDescent="0.35">
      <c r="A66" s="33" t="s">
        <v>83</v>
      </c>
      <c r="B66" s="32"/>
      <c r="C66" s="32"/>
      <c r="D66" s="21">
        <f t="shared" ref="D66:O66" si="2">SUM(D39:D65)</f>
        <v>0</v>
      </c>
      <c r="E66" s="21">
        <f t="shared" si="2"/>
        <v>0</v>
      </c>
      <c r="F66" s="21">
        <f t="shared" si="2"/>
        <v>0</v>
      </c>
      <c r="G66" s="21">
        <f t="shared" si="2"/>
        <v>0</v>
      </c>
      <c r="H66" s="21">
        <f t="shared" si="2"/>
        <v>0</v>
      </c>
      <c r="I66" s="21">
        <f t="shared" si="2"/>
        <v>0</v>
      </c>
      <c r="J66" s="21">
        <f t="shared" si="2"/>
        <v>0</v>
      </c>
      <c r="K66" s="21">
        <f t="shared" si="2"/>
        <v>0</v>
      </c>
      <c r="L66" s="21">
        <f t="shared" si="2"/>
        <v>0</v>
      </c>
      <c r="M66" s="21">
        <f t="shared" si="2"/>
        <v>736</v>
      </c>
      <c r="N66" s="21">
        <f t="shared" si="2"/>
        <v>0</v>
      </c>
      <c r="O66" s="21">
        <f t="shared" si="2"/>
        <v>0</v>
      </c>
      <c r="P66" s="1"/>
    </row>
    <row r="67" spans="1:16" ht="15.6" x14ac:dyDescent="0.3">
      <c r="A67" s="34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</row>
    <row r="68" spans="1:16" ht="15.6" x14ac:dyDescent="0.3">
      <c r="A68" s="22" t="s">
        <v>0</v>
      </c>
      <c r="B68" s="22"/>
      <c r="C68" s="23"/>
      <c r="D68" s="22" t="s">
        <v>1</v>
      </c>
      <c r="E68" s="22" t="s">
        <v>2</v>
      </c>
      <c r="F68" s="22" t="s">
        <v>3</v>
      </c>
      <c r="G68" s="22" t="s">
        <v>4</v>
      </c>
      <c r="H68" s="22" t="s">
        <v>5</v>
      </c>
      <c r="I68" s="22" t="s">
        <v>6</v>
      </c>
      <c r="J68" s="22" t="s">
        <v>7</v>
      </c>
      <c r="K68" s="22" t="s">
        <v>8</v>
      </c>
      <c r="L68" s="22" t="s">
        <v>9</v>
      </c>
      <c r="M68" s="22" t="s">
        <v>10</v>
      </c>
      <c r="N68" s="22" t="s">
        <v>11</v>
      </c>
      <c r="O68" s="22" t="s">
        <v>12</v>
      </c>
      <c r="P68" s="2"/>
    </row>
    <row r="69" spans="1:16" x14ac:dyDescent="0.3">
      <c r="A69" s="35" t="s">
        <v>84</v>
      </c>
      <c r="B69" s="10" t="s">
        <v>51</v>
      </c>
      <c r="C69" s="10" t="s">
        <v>14</v>
      </c>
      <c r="D69" s="7" t="s">
        <v>15</v>
      </c>
      <c r="E69" s="7" t="s">
        <v>15</v>
      </c>
      <c r="F69" s="7" t="s">
        <v>15</v>
      </c>
      <c r="G69" s="7" t="s">
        <v>15</v>
      </c>
      <c r="H69" s="7" t="s">
        <v>15</v>
      </c>
      <c r="I69" s="7" t="s">
        <v>15</v>
      </c>
      <c r="J69" s="7" t="s">
        <v>15</v>
      </c>
      <c r="K69" s="7" t="s">
        <v>15</v>
      </c>
      <c r="L69" s="7" t="s">
        <v>15</v>
      </c>
      <c r="M69" s="7" t="s">
        <v>15</v>
      </c>
      <c r="N69" s="7" t="s">
        <v>15</v>
      </c>
      <c r="O69" s="7" t="s">
        <v>15</v>
      </c>
      <c r="P69" s="1"/>
    </row>
    <row r="70" spans="1:16" x14ac:dyDescent="0.3">
      <c r="A70" s="27"/>
      <c r="B70" s="36" t="s">
        <v>85</v>
      </c>
      <c r="C70" s="9" t="s">
        <v>86</v>
      </c>
      <c r="D70" s="8"/>
      <c r="E70" s="8"/>
      <c r="F70" s="8"/>
      <c r="G70" s="8"/>
      <c r="H70" s="8"/>
      <c r="I70" s="8"/>
      <c r="J70" s="8"/>
      <c r="K70" s="8"/>
      <c r="L70" s="8"/>
      <c r="M70" s="8">
        <v>350</v>
      </c>
      <c r="N70" s="8"/>
      <c r="O70" s="8"/>
      <c r="P70" s="1"/>
    </row>
    <row r="71" spans="1:16" x14ac:dyDescent="0.3">
      <c r="A71" s="27"/>
      <c r="B71" s="30"/>
      <c r="C71" s="9" t="s">
        <v>87</v>
      </c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1"/>
    </row>
    <row r="72" spans="1:16" x14ac:dyDescent="0.3">
      <c r="A72" s="27"/>
      <c r="B72" s="36" t="s">
        <v>40</v>
      </c>
      <c r="C72" s="9" t="s">
        <v>88</v>
      </c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1"/>
    </row>
    <row r="73" spans="1:16" x14ac:dyDescent="0.3">
      <c r="A73" s="27"/>
      <c r="B73" s="30"/>
      <c r="C73" s="9" t="s">
        <v>89</v>
      </c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1"/>
    </row>
    <row r="74" spans="1:16" x14ac:dyDescent="0.3">
      <c r="A74" s="27"/>
      <c r="B74" s="30"/>
      <c r="C74" s="9" t="s">
        <v>90</v>
      </c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"/>
    </row>
    <row r="75" spans="1:16" x14ac:dyDescent="0.3">
      <c r="A75" s="27"/>
      <c r="B75" s="36" t="s">
        <v>91</v>
      </c>
      <c r="C75" s="9" t="s">
        <v>92</v>
      </c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1"/>
    </row>
    <row r="76" spans="1:16" x14ac:dyDescent="0.3">
      <c r="A76" s="27"/>
      <c r="B76" s="30"/>
      <c r="C76" s="9" t="s">
        <v>93</v>
      </c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1"/>
    </row>
    <row r="77" spans="1:16" x14ac:dyDescent="0.3">
      <c r="A77" s="27"/>
      <c r="B77" s="30"/>
      <c r="C77" s="9" t="s">
        <v>94</v>
      </c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1"/>
    </row>
    <row r="78" spans="1:16" x14ac:dyDescent="0.3">
      <c r="A78" s="27"/>
      <c r="B78" s="30"/>
      <c r="C78" s="9" t="s">
        <v>95</v>
      </c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1"/>
    </row>
    <row r="79" spans="1:16" x14ac:dyDescent="0.3">
      <c r="A79" s="27"/>
      <c r="B79" s="30"/>
      <c r="C79" s="9" t="s">
        <v>96</v>
      </c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1"/>
    </row>
    <row r="80" spans="1:16" x14ac:dyDescent="0.3">
      <c r="A80" s="27"/>
      <c r="B80" s="30"/>
      <c r="C80" s="9" t="s">
        <v>97</v>
      </c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1"/>
    </row>
    <row r="81" spans="1:16" x14ac:dyDescent="0.3">
      <c r="A81" s="27"/>
      <c r="B81" s="36" t="s">
        <v>98</v>
      </c>
      <c r="C81" s="9" t="s">
        <v>99</v>
      </c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1"/>
    </row>
    <row r="82" spans="1:16" x14ac:dyDescent="0.3">
      <c r="A82" s="27"/>
      <c r="B82" s="30"/>
      <c r="C82" s="9" t="s">
        <v>100</v>
      </c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1"/>
    </row>
    <row r="83" spans="1:16" x14ac:dyDescent="0.3">
      <c r="A83" s="27"/>
      <c r="B83" s="30"/>
      <c r="C83" s="9" t="s">
        <v>101</v>
      </c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1"/>
    </row>
    <row r="84" spans="1:16" x14ac:dyDescent="0.3">
      <c r="A84" s="27"/>
      <c r="B84" s="10" t="s">
        <v>102</v>
      </c>
      <c r="C84" s="9" t="s">
        <v>103</v>
      </c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1"/>
    </row>
    <row r="85" spans="1:16" ht="18" x14ac:dyDescent="0.35">
      <c r="A85" s="33" t="s">
        <v>49</v>
      </c>
      <c r="B85" s="32"/>
      <c r="C85" s="32"/>
      <c r="D85" s="21">
        <f t="shared" ref="D85:O85" si="3">SUM(D70:D84)</f>
        <v>0</v>
      </c>
      <c r="E85" s="21">
        <f t="shared" si="3"/>
        <v>0</v>
      </c>
      <c r="F85" s="21">
        <f t="shared" si="3"/>
        <v>0</v>
      </c>
      <c r="G85" s="21">
        <f t="shared" si="3"/>
        <v>0</v>
      </c>
      <c r="H85" s="21">
        <f t="shared" si="3"/>
        <v>0</v>
      </c>
      <c r="I85" s="21">
        <f t="shared" si="3"/>
        <v>0</v>
      </c>
      <c r="J85" s="21">
        <f t="shared" si="3"/>
        <v>0</v>
      </c>
      <c r="K85" s="21">
        <f t="shared" si="3"/>
        <v>0</v>
      </c>
      <c r="L85" s="21">
        <f t="shared" si="3"/>
        <v>0</v>
      </c>
      <c r="M85" s="21">
        <f t="shared" si="3"/>
        <v>350</v>
      </c>
      <c r="N85" s="21">
        <f t="shared" si="3"/>
        <v>0</v>
      </c>
      <c r="O85" s="21">
        <f t="shared" si="3"/>
        <v>0</v>
      </c>
      <c r="P85" s="1"/>
    </row>
    <row r="86" spans="1:16" ht="15.6" x14ac:dyDescent="0.3">
      <c r="A86" s="5"/>
      <c r="B86" s="5"/>
      <c r="C86" s="5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"/>
    </row>
    <row r="87" spans="1:16" ht="15.6" x14ac:dyDescent="0.3">
      <c r="A87" s="22" t="s">
        <v>0</v>
      </c>
      <c r="B87" s="22"/>
      <c r="C87" s="23"/>
      <c r="D87" s="22" t="s">
        <v>1</v>
      </c>
      <c r="E87" s="22" t="s">
        <v>2</v>
      </c>
      <c r="F87" s="22" t="s">
        <v>3</v>
      </c>
      <c r="G87" s="22" t="s">
        <v>4</v>
      </c>
      <c r="H87" s="22" t="s">
        <v>5</v>
      </c>
      <c r="I87" s="22" t="s">
        <v>6</v>
      </c>
      <c r="J87" s="22" t="s">
        <v>7</v>
      </c>
      <c r="K87" s="22" t="s">
        <v>8</v>
      </c>
      <c r="L87" s="22" t="s">
        <v>9</v>
      </c>
      <c r="M87" s="22" t="s">
        <v>10</v>
      </c>
      <c r="N87" s="22" t="s">
        <v>11</v>
      </c>
      <c r="O87" s="22" t="s">
        <v>12</v>
      </c>
      <c r="P87" s="2"/>
    </row>
    <row r="88" spans="1:16" x14ac:dyDescent="0.3">
      <c r="A88" s="35" t="s">
        <v>104</v>
      </c>
      <c r="B88" s="27"/>
      <c r="C88" s="10" t="s">
        <v>51</v>
      </c>
      <c r="D88" s="7" t="s">
        <v>15</v>
      </c>
      <c r="E88" s="7" t="s">
        <v>15</v>
      </c>
      <c r="F88" s="7" t="s">
        <v>15</v>
      </c>
      <c r="G88" s="7" t="s">
        <v>15</v>
      </c>
      <c r="H88" s="7" t="s">
        <v>15</v>
      </c>
      <c r="I88" s="7" t="s">
        <v>15</v>
      </c>
      <c r="J88" s="7" t="s">
        <v>15</v>
      </c>
      <c r="K88" s="7" t="s">
        <v>15</v>
      </c>
      <c r="L88" s="7" t="s">
        <v>15</v>
      </c>
      <c r="M88" s="7" t="s">
        <v>15</v>
      </c>
      <c r="N88" s="7" t="s">
        <v>15</v>
      </c>
      <c r="O88" s="7" t="s">
        <v>15</v>
      </c>
      <c r="P88" s="1"/>
    </row>
    <row r="89" spans="1:16" x14ac:dyDescent="0.3">
      <c r="A89" s="27"/>
      <c r="B89" s="28"/>
      <c r="C89" s="15" t="s">
        <v>105</v>
      </c>
      <c r="D89" s="16" t="e">
        <f>SUM(#REF!)</f>
        <v>#REF!</v>
      </c>
      <c r="E89" s="16" t="e">
        <f>SUM(#REF!)</f>
        <v>#REF!</v>
      </c>
      <c r="F89" s="16" t="e">
        <f>SUM(#REF!)</f>
        <v>#REF!</v>
      </c>
      <c r="G89" s="16" t="e">
        <f>SUM(#REF!)</f>
        <v>#REF!</v>
      </c>
      <c r="H89" s="16" t="e">
        <f>SUM(#REF!)</f>
        <v>#REF!</v>
      </c>
      <c r="I89" s="16" t="e">
        <f>SUM(#REF!)</f>
        <v>#REF!</v>
      </c>
      <c r="J89" s="16" t="e">
        <f>SUM(#REF!)</f>
        <v>#REF!</v>
      </c>
      <c r="K89" s="16" t="e">
        <f>SUM(#REF!)</f>
        <v>#REF!</v>
      </c>
      <c r="L89" s="16" t="e">
        <f>SUM(#REF!)</f>
        <v>#REF!</v>
      </c>
      <c r="M89" s="16" t="e">
        <f>SUM(#REF!)</f>
        <v>#REF!</v>
      </c>
      <c r="N89" s="16" t="e">
        <f>SUM(#REF!)</f>
        <v>#REF!</v>
      </c>
      <c r="O89" s="16" t="e">
        <f>SUM(#REF!)</f>
        <v>#REF!</v>
      </c>
      <c r="P89" s="1"/>
    </row>
    <row r="90" spans="1:16" x14ac:dyDescent="0.3">
      <c r="A90" s="27"/>
      <c r="B90" s="28"/>
      <c r="C90" s="15" t="s">
        <v>24</v>
      </c>
      <c r="D90" s="16">
        <f t="shared" ref="D90:O90" si="4">SUM(D15:D20,D39:D45)</f>
        <v>0</v>
      </c>
      <c r="E90" s="16">
        <f t="shared" si="4"/>
        <v>0</v>
      </c>
      <c r="F90" s="16">
        <f t="shared" si="4"/>
        <v>0</v>
      </c>
      <c r="G90" s="16">
        <f t="shared" si="4"/>
        <v>0</v>
      </c>
      <c r="H90" s="16">
        <f t="shared" si="4"/>
        <v>0</v>
      </c>
      <c r="I90" s="16">
        <f t="shared" si="4"/>
        <v>0</v>
      </c>
      <c r="J90" s="16">
        <f t="shared" si="4"/>
        <v>0</v>
      </c>
      <c r="K90" s="16">
        <f t="shared" si="4"/>
        <v>0</v>
      </c>
      <c r="L90" s="16">
        <f t="shared" si="4"/>
        <v>0</v>
      </c>
      <c r="M90" s="16">
        <f t="shared" si="4"/>
        <v>209</v>
      </c>
      <c r="N90" s="16">
        <f t="shared" si="4"/>
        <v>0</v>
      </c>
      <c r="O90" s="16">
        <f t="shared" si="4"/>
        <v>0</v>
      </c>
      <c r="P90" s="1"/>
    </row>
    <row r="91" spans="1:16" x14ac:dyDescent="0.3">
      <c r="A91" s="27"/>
      <c r="B91" s="28"/>
      <c r="C91" s="15" t="s">
        <v>31</v>
      </c>
      <c r="D91" s="16">
        <f t="shared" ref="D91:O91" si="5">SUM(D46:D49,D21:D23)</f>
        <v>0</v>
      </c>
      <c r="E91" s="16">
        <f t="shared" si="5"/>
        <v>0</v>
      </c>
      <c r="F91" s="16">
        <f t="shared" si="5"/>
        <v>0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0</v>
      </c>
      <c r="L91" s="16">
        <f t="shared" si="5"/>
        <v>0</v>
      </c>
      <c r="M91" s="16">
        <f t="shared" si="5"/>
        <v>506</v>
      </c>
      <c r="N91" s="16">
        <f t="shared" si="5"/>
        <v>0</v>
      </c>
      <c r="O91" s="16">
        <f t="shared" si="5"/>
        <v>0</v>
      </c>
      <c r="P91" s="1"/>
    </row>
    <row r="92" spans="1:16" x14ac:dyDescent="0.3">
      <c r="A92" s="27"/>
      <c r="B92" s="28"/>
      <c r="C92" s="15" t="s">
        <v>35</v>
      </c>
      <c r="D92" s="16">
        <f t="shared" ref="D92:O92" si="6">SUM(D24:D27,D54)</f>
        <v>0</v>
      </c>
      <c r="E92" s="16">
        <f t="shared" si="6"/>
        <v>0</v>
      </c>
      <c r="F92" s="16">
        <f t="shared" si="6"/>
        <v>0</v>
      </c>
      <c r="G92" s="16">
        <f t="shared" si="6"/>
        <v>0</v>
      </c>
      <c r="H92" s="16">
        <f t="shared" si="6"/>
        <v>0</v>
      </c>
      <c r="I92" s="16">
        <f t="shared" si="6"/>
        <v>0</v>
      </c>
      <c r="J92" s="16">
        <f t="shared" si="6"/>
        <v>0</v>
      </c>
      <c r="K92" s="16">
        <f t="shared" si="6"/>
        <v>0</v>
      </c>
      <c r="L92" s="16">
        <f t="shared" si="6"/>
        <v>0</v>
      </c>
      <c r="M92" s="16">
        <f t="shared" si="6"/>
        <v>0</v>
      </c>
      <c r="N92" s="16">
        <f t="shared" si="6"/>
        <v>0</v>
      </c>
      <c r="O92" s="16">
        <f t="shared" si="6"/>
        <v>0</v>
      </c>
      <c r="P92" s="1"/>
    </row>
    <row r="93" spans="1:16" x14ac:dyDescent="0.3">
      <c r="A93" s="27"/>
      <c r="B93" s="28"/>
      <c r="C93" s="15" t="s">
        <v>40</v>
      </c>
      <c r="D93" s="16">
        <f t="shared" ref="D93:O93" si="7">SUM(D28:D31,D72:D74)</f>
        <v>0</v>
      </c>
      <c r="E93" s="16">
        <f t="shared" si="7"/>
        <v>0</v>
      </c>
      <c r="F93" s="16">
        <f t="shared" si="7"/>
        <v>0</v>
      </c>
      <c r="G93" s="16">
        <f t="shared" si="7"/>
        <v>0</v>
      </c>
      <c r="H93" s="16">
        <f t="shared" si="7"/>
        <v>0</v>
      </c>
      <c r="I93" s="16">
        <f t="shared" si="7"/>
        <v>0</v>
      </c>
      <c r="J93" s="16">
        <f t="shared" si="7"/>
        <v>0</v>
      </c>
      <c r="K93" s="16">
        <f t="shared" si="7"/>
        <v>0</v>
      </c>
      <c r="L93" s="16">
        <f t="shared" si="7"/>
        <v>0</v>
      </c>
      <c r="M93" s="16">
        <f t="shared" si="7"/>
        <v>0</v>
      </c>
      <c r="N93" s="16">
        <f t="shared" si="7"/>
        <v>0</v>
      </c>
      <c r="O93" s="16">
        <f t="shared" si="7"/>
        <v>0</v>
      </c>
      <c r="P93" s="1"/>
    </row>
    <row r="94" spans="1:16" x14ac:dyDescent="0.3">
      <c r="A94" s="27"/>
      <c r="B94" s="28"/>
      <c r="C94" s="15" t="s">
        <v>106</v>
      </c>
      <c r="D94" s="16">
        <f t="shared" ref="D94:O94" si="8">SUM(D32:D34)</f>
        <v>0</v>
      </c>
      <c r="E94" s="16">
        <f t="shared" si="8"/>
        <v>0</v>
      </c>
      <c r="F94" s="16">
        <f t="shared" si="8"/>
        <v>0</v>
      </c>
      <c r="G94" s="16">
        <f t="shared" si="8"/>
        <v>0</v>
      </c>
      <c r="H94" s="16">
        <f t="shared" si="8"/>
        <v>0</v>
      </c>
      <c r="I94" s="16">
        <f t="shared" si="8"/>
        <v>0</v>
      </c>
      <c r="J94" s="16">
        <f t="shared" si="8"/>
        <v>0</v>
      </c>
      <c r="K94" s="16">
        <f t="shared" si="8"/>
        <v>0</v>
      </c>
      <c r="L94" s="16">
        <f t="shared" si="8"/>
        <v>0</v>
      </c>
      <c r="M94" s="16">
        <f t="shared" si="8"/>
        <v>0</v>
      </c>
      <c r="N94" s="16">
        <f t="shared" si="8"/>
        <v>0</v>
      </c>
      <c r="O94" s="16">
        <f t="shared" si="8"/>
        <v>0</v>
      </c>
      <c r="P94" s="1"/>
    </row>
    <row r="95" spans="1:16" x14ac:dyDescent="0.3">
      <c r="A95" s="27"/>
      <c r="B95" s="28"/>
      <c r="C95" s="15" t="s">
        <v>63</v>
      </c>
      <c r="D95" s="16">
        <f t="shared" ref="D95:O95" si="9">SUM(D50:D53)</f>
        <v>0</v>
      </c>
      <c r="E95" s="16">
        <f t="shared" si="9"/>
        <v>0</v>
      </c>
      <c r="F95" s="16">
        <f t="shared" si="9"/>
        <v>0</v>
      </c>
      <c r="G95" s="16">
        <f t="shared" si="9"/>
        <v>0</v>
      </c>
      <c r="H95" s="16">
        <f t="shared" si="9"/>
        <v>0</v>
      </c>
      <c r="I95" s="16">
        <f t="shared" si="9"/>
        <v>0</v>
      </c>
      <c r="J95" s="16">
        <f t="shared" si="9"/>
        <v>0</v>
      </c>
      <c r="K95" s="16">
        <f t="shared" si="9"/>
        <v>0</v>
      </c>
      <c r="L95" s="16">
        <f t="shared" si="9"/>
        <v>0</v>
      </c>
      <c r="M95" s="16">
        <f t="shared" si="9"/>
        <v>13</v>
      </c>
      <c r="N95" s="16">
        <f t="shared" si="9"/>
        <v>0</v>
      </c>
      <c r="O95" s="16">
        <f t="shared" si="9"/>
        <v>0</v>
      </c>
      <c r="P95" s="1"/>
    </row>
    <row r="96" spans="1:16" x14ac:dyDescent="0.3">
      <c r="A96" s="27"/>
      <c r="B96" s="28"/>
      <c r="C96" s="15" t="s">
        <v>107</v>
      </c>
      <c r="D96" s="16">
        <f t="shared" ref="D96:O96" si="10">SUM(D55:D58)</f>
        <v>0</v>
      </c>
      <c r="E96" s="16">
        <f t="shared" si="10"/>
        <v>0</v>
      </c>
      <c r="F96" s="16">
        <f t="shared" si="10"/>
        <v>0</v>
      </c>
      <c r="G96" s="16">
        <f t="shared" si="10"/>
        <v>0</v>
      </c>
      <c r="H96" s="16">
        <f t="shared" si="10"/>
        <v>0</v>
      </c>
      <c r="I96" s="16">
        <f t="shared" si="10"/>
        <v>0</v>
      </c>
      <c r="J96" s="16">
        <f t="shared" si="10"/>
        <v>0</v>
      </c>
      <c r="K96" s="16">
        <f t="shared" si="10"/>
        <v>0</v>
      </c>
      <c r="L96" s="16">
        <f t="shared" si="10"/>
        <v>0</v>
      </c>
      <c r="M96" s="16">
        <f t="shared" si="10"/>
        <v>129</v>
      </c>
      <c r="N96" s="16">
        <f t="shared" si="10"/>
        <v>0</v>
      </c>
      <c r="O96" s="16">
        <f t="shared" si="10"/>
        <v>0</v>
      </c>
      <c r="P96" s="1"/>
    </row>
    <row r="97" spans="1:16" x14ac:dyDescent="0.3">
      <c r="A97" s="27"/>
      <c r="B97" s="28"/>
      <c r="C97" s="15" t="s">
        <v>108</v>
      </c>
      <c r="D97" s="16">
        <f t="shared" ref="D97:O97" si="11">SUM(D59:D62)</f>
        <v>0</v>
      </c>
      <c r="E97" s="16">
        <f t="shared" si="11"/>
        <v>0</v>
      </c>
      <c r="F97" s="16">
        <f t="shared" si="11"/>
        <v>0</v>
      </c>
      <c r="G97" s="16">
        <f t="shared" si="11"/>
        <v>0</v>
      </c>
      <c r="H97" s="16">
        <f t="shared" si="11"/>
        <v>0</v>
      </c>
      <c r="I97" s="16">
        <f t="shared" si="11"/>
        <v>0</v>
      </c>
      <c r="J97" s="16">
        <f t="shared" si="11"/>
        <v>0</v>
      </c>
      <c r="K97" s="16">
        <f t="shared" si="11"/>
        <v>0</v>
      </c>
      <c r="L97" s="16">
        <f t="shared" si="11"/>
        <v>0</v>
      </c>
      <c r="M97" s="16">
        <f t="shared" si="11"/>
        <v>0</v>
      </c>
      <c r="N97" s="16">
        <f t="shared" si="11"/>
        <v>0</v>
      </c>
      <c r="O97" s="16">
        <f t="shared" si="11"/>
        <v>0</v>
      </c>
      <c r="P97" s="1"/>
    </row>
    <row r="98" spans="1:16" x14ac:dyDescent="0.3">
      <c r="A98" s="27"/>
      <c r="B98" s="28"/>
      <c r="C98" s="15" t="s">
        <v>79</v>
      </c>
      <c r="D98" s="16">
        <f t="shared" ref="D98:O98" si="12">SUM(D63:D65)</f>
        <v>0</v>
      </c>
      <c r="E98" s="16">
        <f t="shared" si="12"/>
        <v>0</v>
      </c>
      <c r="F98" s="16">
        <f t="shared" si="12"/>
        <v>0</v>
      </c>
      <c r="G98" s="16">
        <f t="shared" si="12"/>
        <v>0</v>
      </c>
      <c r="H98" s="16">
        <f t="shared" si="12"/>
        <v>0</v>
      </c>
      <c r="I98" s="16">
        <f t="shared" si="12"/>
        <v>0</v>
      </c>
      <c r="J98" s="16">
        <f t="shared" si="12"/>
        <v>0</v>
      </c>
      <c r="K98" s="16">
        <f t="shared" si="12"/>
        <v>0</v>
      </c>
      <c r="L98" s="16">
        <f t="shared" si="12"/>
        <v>0</v>
      </c>
      <c r="M98" s="16">
        <f t="shared" si="12"/>
        <v>0</v>
      </c>
      <c r="N98" s="16">
        <f t="shared" si="12"/>
        <v>0</v>
      </c>
      <c r="O98" s="16">
        <f t="shared" si="12"/>
        <v>0</v>
      </c>
      <c r="P98" s="1"/>
    </row>
    <row r="99" spans="1:16" x14ac:dyDescent="0.3">
      <c r="A99" s="27"/>
      <c r="B99" s="28"/>
      <c r="C99" s="15" t="s">
        <v>109</v>
      </c>
      <c r="D99" s="16">
        <f t="shared" ref="D99:O99" si="13">SUM(D70:D71)</f>
        <v>0</v>
      </c>
      <c r="E99" s="16">
        <f t="shared" si="13"/>
        <v>0</v>
      </c>
      <c r="F99" s="16">
        <f t="shared" si="13"/>
        <v>0</v>
      </c>
      <c r="G99" s="16">
        <f t="shared" si="13"/>
        <v>0</v>
      </c>
      <c r="H99" s="16">
        <f t="shared" si="13"/>
        <v>0</v>
      </c>
      <c r="I99" s="16">
        <f t="shared" si="13"/>
        <v>0</v>
      </c>
      <c r="J99" s="16">
        <f t="shared" si="13"/>
        <v>0</v>
      </c>
      <c r="K99" s="16">
        <f t="shared" si="13"/>
        <v>0</v>
      </c>
      <c r="L99" s="16">
        <f t="shared" si="13"/>
        <v>0</v>
      </c>
      <c r="M99" s="16">
        <f t="shared" si="13"/>
        <v>350</v>
      </c>
      <c r="N99" s="16">
        <f t="shared" si="13"/>
        <v>0</v>
      </c>
      <c r="O99" s="16">
        <f t="shared" si="13"/>
        <v>0</v>
      </c>
      <c r="P99" s="1"/>
    </row>
    <row r="100" spans="1:16" x14ac:dyDescent="0.3">
      <c r="A100" s="27"/>
      <c r="B100" s="28"/>
      <c r="C100" s="15" t="s">
        <v>91</v>
      </c>
      <c r="D100" s="16">
        <f t="shared" ref="D100:O100" si="14">SUM(D75:D80)</f>
        <v>0</v>
      </c>
      <c r="E100" s="16">
        <f t="shared" si="14"/>
        <v>0</v>
      </c>
      <c r="F100" s="16">
        <f t="shared" si="14"/>
        <v>0</v>
      </c>
      <c r="G100" s="16">
        <f t="shared" si="14"/>
        <v>0</v>
      </c>
      <c r="H100" s="16">
        <f t="shared" si="14"/>
        <v>0</v>
      </c>
      <c r="I100" s="16">
        <f t="shared" si="14"/>
        <v>0</v>
      </c>
      <c r="J100" s="16">
        <f t="shared" si="14"/>
        <v>0</v>
      </c>
      <c r="K100" s="16">
        <f t="shared" si="14"/>
        <v>0</v>
      </c>
      <c r="L100" s="16">
        <f t="shared" si="14"/>
        <v>0</v>
      </c>
      <c r="M100" s="16">
        <f t="shared" si="14"/>
        <v>0</v>
      </c>
      <c r="N100" s="16">
        <f t="shared" si="14"/>
        <v>0</v>
      </c>
      <c r="O100" s="16">
        <f t="shared" si="14"/>
        <v>0</v>
      </c>
      <c r="P100" s="1"/>
    </row>
    <row r="101" spans="1:16" x14ac:dyDescent="0.3">
      <c r="A101" s="27"/>
      <c r="B101" s="28"/>
      <c r="C101" s="15" t="s">
        <v>98</v>
      </c>
      <c r="D101" s="16">
        <f t="shared" ref="D101:O101" si="15">SUM(D81:D83)</f>
        <v>0</v>
      </c>
      <c r="E101" s="16">
        <f t="shared" si="15"/>
        <v>0</v>
      </c>
      <c r="F101" s="16">
        <f t="shared" si="15"/>
        <v>0</v>
      </c>
      <c r="G101" s="16">
        <f t="shared" si="15"/>
        <v>0</v>
      </c>
      <c r="H101" s="16">
        <f t="shared" si="15"/>
        <v>0</v>
      </c>
      <c r="I101" s="16">
        <f t="shared" si="15"/>
        <v>0</v>
      </c>
      <c r="J101" s="16">
        <f t="shared" si="15"/>
        <v>0</v>
      </c>
      <c r="K101" s="16">
        <f t="shared" si="15"/>
        <v>0</v>
      </c>
      <c r="L101" s="16">
        <f t="shared" si="15"/>
        <v>0</v>
      </c>
      <c r="M101" s="16">
        <f t="shared" si="15"/>
        <v>0</v>
      </c>
      <c r="N101" s="16">
        <f t="shared" si="15"/>
        <v>0</v>
      </c>
      <c r="O101" s="16">
        <f t="shared" si="15"/>
        <v>0</v>
      </c>
      <c r="P101" s="1"/>
    </row>
    <row r="102" spans="1:16" x14ac:dyDescent="0.3">
      <c r="A102" s="27"/>
      <c r="B102" s="28"/>
      <c r="C102" s="15" t="s">
        <v>102</v>
      </c>
      <c r="D102" s="8">
        <f t="shared" ref="D102:O102" si="16">SUM(D84)</f>
        <v>0</v>
      </c>
      <c r="E102" s="8">
        <f t="shared" si="16"/>
        <v>0</v>
      </c>
      <c r="F102" s="8">
        <f t="shared" si="16"/>
        <v>0</v>
      </c>
      <c r="G102" s="8">
        <f t="shared" si="16"/>
        <v>0</v>
      </c>
      <c r="H102" s="8">
        <f t="shared" si="16"/>
        <v>0</v>
      </c>
      <c r="I102" s="8">
        <f t="shared" si="16"/>
        <v>0</v>
      </c>
      <c r="J102" s="8">
        <f t="shared" si="16"/>
        <v>0</v>
      </c>
      <c r="K102" s="8">
        <f t="shared" si="16"/>
        <v>0</v>
      </c>
      <c r="L102" s="8">
        <f t="shared" si="16"/>
        <v>0</v>
      </c>
      <c r="M102" s="8">
        <f t="shared" si="16"/>
        <v>0</v>
      </c>
      <c r="N102" s="8">
        <f t="shared" si="16"/>
        <v>0</v>
      </c>
      <c r="O102" s="8">
        <f t="shared" si="16"/>
        <v>0</v>
      </c>
      <c r="P102" s="1"/>
    </row>
    <row r="103" spans="1:16" ht="18" x14ac:dyDescent="0.35">
      <c r="A103" s="33" t="s">
        <v>110</v>
      </c>
      <c r="B103" s="32"/>
      <c r="C103" s="21"/>
      <c r="D103" s="21" t="e">
        <f t="shared" ref="D103:O103" si="17">SUM(D89:D102)</f>
        <v>#REF!</v>
      </c>
      <c r="E103" s="21" t="e">
        <f t="shared" si="17"/>
        <v>#REF!</v>
      </c>
      <c r="F103" s="21" t="e">
        <f t="shared" si="17"/>
        <v>#REF!</v>
      </c>
      <c r="G103" s="21" t="e">
        <f t="shared" si="17"/>
        <v>#REF!</v>
      </c>
      <c r="H103" s="21" t="e">
        <f t="shared" si="17"/>
        <v>#REF!</v>
      </c>
      <c r="I103" s="21" t="e">
        <f t="shared" si="17"/>
        <v>#REF!</v>
      </c>
      <c r="J103" s="21" t="e">
        <f t="shared" si="17"/>
        <v>#REF!</v>
      </c>
      <c r="K103" s="21" t="e">
        <f t="shared" si="17"/>
        <v>#REF!</v>
      </c>
      <c r="L103" s="21" t="e">
        <f t="shared" si="17"/>
        <v>#REF!</v>
      </c>
      <c r="M103" s="21" t="e">
        <f t="shared" si="17"/>
        <v>#REF!</v>
      </c>
      <c r="N103" s="21" t="e">
        <f t="shared" si="17"/>
        <v>#REF!</v>
      </c>
      <c r="O103" s="21" t="e">
        <f t="shared" si="17"/>
        <v>#REF!</v>
      </c>
      <c r="P103" s="1"/>
    </row>
    <row r="104" spans="1:16" ht="15.6" x14ac:dyDescent="0.3">
      <c r="A104" s="34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1"/>
    </row>
    <row r="105" spans="1:16" ht="15.6" x14ac:dyDescent="0.3">
      <c r="A105" s="22" t="s">
        <v>0</v>
      </c>
      <c r="B105" s="22"/>
      <c r="C105" s="23"/>
      <c r="D105" s="22" t="s">
        <v>1</v>
      </c>
      <c r="E105" s="22" t="s">
        <v>2</v>
      </c>
      <c r="F105" s="22" t="s">
        <v>3</v>
      </c>
      <c r="G105" s="22" t="s">
        <v>4</v>
      </c>
      <c r="H105" s="22" t="s">
        <v>5</v>
      </c>
      <c r="I105" s="22" t="s">
        <v>6</v>
      </c>
      <c r="J105" s="22" t="s">
        <v>7</v>
      </c>
      <c r="K105" s="22" t="s">
        <v>8</v>
      </c>
      <c r="L105" s="22" t="s">
        <v>9</v>
      </c>
      <c r="M105" s="22" t="s">
        <v>10</v>
      </c>
      <c r="N105" s="22" t="s">
        <v>11</v>
      </c>
      <c r="O105" s="22" t="s">
        <v>12</v>
      </c>
      <c r="P105" s="1"/>
    </row>
    <row r="106" spans="1:16" x14ac:dyDescent="0.3">
      <c r="A106" s="26" t="s">
        <v>13</v>
      </c>
      <c r="B106" s="27"/>
      <c r="C106" s="1"/>
      <c r="D106" s="10" t="s">
        <v>15</v>
      </c>
      <c r="E106" s="10" t="s">
        <v>15</v>
      </c>
      <c r="F106" s="10" t="s">
        <v>15</v>
      </c>
      <c r="G106" s="10" t="s">
        <v>15</v>
      </c>
      <c r="H106" s="10" t="s">
        <v>15</v>
      </c>
      <c r="I106" s="10" t="s">
        <v>15</v>
      </c>
      <c r="J106" s="10" t="s">
        <v>15</v>
      </c>
      <c r="K106" s="10" t="s">
        <v>15</v>
      </c>
      <c r="L106" s="10" t="s">
        <v>15</v>
      </c>
      <c r="M106" s="10" t="s">
        <v>15</v>
      </c>
      <c r="N106" s="10" t="s">
        <v>15</v>
      </c>
      <c r="O106" s="10" t="s">
        <v>15</v>
      </c>
      <c r="P106" s="1"/>
    </row>
    <row r="107" spans="1:16" x14ac:dyDescent="0.3">
      <c r="A107" s="27"/>
      <c r="B107" s="28"/>
      <c r="C107" s="24" t="s">
        <v>111</v>
      </c>
      <c r="D107" s="25">
        <f t="shared" ref="D107:O107" si="18">SUM(D11)</f>
        <v>0</v>
      </c>
      <c r="E107" s="25">
        <f t="shared" si="18"/>
        <v>0</v>
      </c>
      <c r="F107" s="25">
        <f t="shared" si="18"/>
        <v>0</v>
      </c>
      <c r="G107" s="25">
        <f t="shared" si="18"/>
        <v>0</v>
      </c>
      <c r="H107" s="25">
        <f t="shared" si="18"/>
        <v>0</v>
      </c>
      <c r="I107" s="25">
        <f t="shared" si="18"/>
        <v>0</v>
      </c>
      <c r="J107" s="25">
        <f t="shared" si="18"/>
        <v>0</v>
      </c>
      <c r="K107" s="25">
        <f t="shared" si="18"/>
        <v>0</v>
      </c>
      <c r="L107" s="25">
        <f t="shared" si="18"/>
        <v>0</v>
      </c>
      <c r="M107" s="25">
        <f t="shared" si="18"/>
        <v>2243.66</v>
      </c>
      <c r="N107" s="25">
        <f t="shared" si="18"/>
        <v>0</v>
      </c>
      <c r="O107" s="25">
        <f t="shared" si="18"/>
        <v>0</v>
      </c>
      <c r="P107" s="1"/>
    </row>
    <row r="108" spans="1:16" ht="15.6" x14ac:dyDescent="0.3">
      <c r="A108" s="29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1"/>
    </row>
    <row r="109" spans="1:16" x14ac:dyDescent="0.3">
      <c r="A109" s="26" t="s">
        <v>112</v>
      </c>
      <c r="B109" s="27"/>
      <c r="C109" s="9" t="s">
        <v>113</v>
      </c>
      <c r="D109" s="17">
        <f t="shared" ref="D109:O109" si="19">SUM(D35)</f>
        <v>0</v>
      </c>
      <c r="E109" s="17">
        <f t="shared" si="19"/>
        <v>0</v>
      </c>
      <c r="F109" s="17">
        <f t="shared" si="19"/>
        <v>0</v>
      </c>
      <c r="G109" s="17">
        <f t="shared" si="19"/>
        <v>0</v>
      </c>
      <c r="H109" s="17">
        <f t="shared" si="19"/>
        <v>0</v>
      </c>
      <c r="I109" s="17">
        <f t="shared" si="19"/>
        <v>0</v>
      </c>
      <c r="J109" s="17">
        <f t="shared" si="19"/>
        <v>0</v>
      </c>
      <c r="K109" s="17">
        <f t="shared" si="19"/>
        <v>0</v>
      </c>
      <c r="L109" s="17">
        <f t="shared" si="19"/>
        <v>0</v>
      </c>
      <c r="M109" s="17">
        <f t="shared" si="19"/>
        <v>121</v>
      </c>
      <c r="N109" s="17">
        <f t="shared" si="19"/>
        <v>0</v>
      </c>
      <c r="O109" s="17">
        <f t="shared" si="19"/>
        <v>0</v>
      </c>
      <c r="P109" s="1"/>
    </row>
    <row r="110" spans="1:16" x14ac:dyDescent="0.3">
      <c r="A110" s="27"/>
      <c r="B110" s="28"/>
      <c r="C110" s="9" t="s">
        <v>114</v>
      </c>
      <c r="D110" s="17">
        <f t="shared" ref="D110:O110" si="20">SUM(D66)</f>
        <v>0</v>
      </c>
      <c r="E110" s="17">
        <f t="shared" si="20"/>
        <v>0</v>
      </c>
      <c r="F110" s="17">
        <f t="shared" si="20"/>
        <v>0</v>
      </c>
      <c r="G110" s="17">
        <f t="shared" si="20"/>
        <v>0</v>
      </c>
      <c r="H110" s="17">
        <f t="shared" si="20"/>
        <v>0</v>
      </c>
      <c r="I110" s="17">
        <f t="shared" si="20"/>
        <v>0</v>
      </c>
      <c r="J110" s="17">
        <f t="shared" si="20"/>
        <v>0</v>
      </c>
      <c r="K110" s="17">
        <f t="shared" si="20"/>
        <v>0</v>
      </c>
      <c r="L110" s="17">
        <f t="shared" si="20"/>
        <v>0</v>
      </c>
      <c r="M110" s="17">
        <f t="shared" si="20"/>
        <v>736</v>
      </c>
      <c r="N110" s="17">
        <f t="shared" si="20"/>
        <v>0</v>
      </c>
      <c r="O110" s="17">
        <f t="shared" si="20"/>
        <v>0</v>
      </c>
      <c r="P110" s="1"/>
    </row>
    <row r="111" spans="1:16" x14ac:dyDescent="0.3">
      <c r="A111" s="27"/>
      <c r="B111" s="28"/>
      <c r="C111" s="9" t="s">
        <v>115</v>
      </c>
      <c r="D111" s="17">
        <f t="shared" ref="D111:O111" si="21">SUM(D85)</f>
        <v>0</v>
      </c>
      <c r="E111" s="17">
        <f t="shared" si="21"/>
        <v>0</v>
      </c>
      <c r="F111" s="17">
        <f t="shared" si="21"/>
        <v>0</v>
      </c>
      <c r="G111" s="17">
        <f t="shared" si="21"/>
        <v>0</v>
      </c>
      <c r="H111" s="17">
        <f t="shared" si="21"/>
        <v>0</v>
      </c>
      <c r="I111" s="17">
        <f t="shared" si="21"/>
        <v>0</v>
      </c>
      <c r="J111" s="17">
        <f t="shared" si="21"/>
        <v>0</v>
      </c>
      <c r="K111" s="17">
        <f t="shared" si="21"/>
        <v>0</v>
      </c>
      <c r="L111" s="17">
        <f t="shared" si="21"/>
        <v>0</v>
      </c>
      <c r="M111" s="17">
        <f t="shared" si="21"/>
        <v>350</v>
      </c>
      <c r="N111" s="17">
        <f t="shared" si="21"/>
        <v>0</v>
      </c>
      <c r="O111" s="17">
        <f t="shared" si="21"/>
        <v>0</v>
      </c>
      <c r="P111" s="1"/>
    </row>
    <row r="112" spans="1:16" x14ac:dyDescent="0.3">
      <c r="A112" s="27"/>
      <c r="B112" s="28"/>
      <c r="C112" s="24" t="s">
        <v>116</v>
      </c>
      <c r="D112" s="25">
        <f t="shared" ref="D112:O112" si="22">SUM(D109:D111)</f>
        <v>0</v>
      </c>
      <c r="E112" s="25">
        <f t="shared" si="22"/>
        <v>0</v>
      </c>
      <c r="F112" s="25">
        <f t="shared" si="22"/>
        <v>0</v>
      </c>
      <c r="G112" s="25">
        <f t="shared" si="22"/>
        <v>0</v>
      </c>
      <c r="H112" s="25">
        <f t="shared" si="22"/>
        <v>0</v>
      </c>
      <c r="I112" s="25">
        <f t="shared" si="22"/>
        <v>0</v>
      </c>
      <c r="J112" s="25">
        <f t="shared" si="22"/>
        <v>0</v>
      </c>
      <c r="K112" s="25">
        <f t="shared" si="22"/>
        <v>0</v>
      </c>
      <c r="L112" s="25">
        <f t="shared" si="22"/>
        <v>0</v>
      </c>
      <c r="M112" s="25">
        <f t="shared" si="22"/>
        <v>1207</v>
      </c>
      <c r="N112" s="25">
        <f t="shared" si="22"/>
        <v>0</v>
      </c>
      <c r="O112" s="25">
        <f t="shared" si="22"/>
        <v>0</v>
      </c>
      <c r="P112" s="1"/>
    </row>
    <row r="113" spans="1:16" ht="15.6" x14ac:dyDescent="0.3">
      <c r="A113" s="29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1"/>
    </row>
    <row r="114" spans="1:16" ht="15.6" x14ac:dyDescent="0.3">
      <c r="A114" s="31" t="s">
        <v>117</v>
      </c>
      <c r="B114" s="32"/>
      <c r="C114" s="32"/>
      <c r="D114" s="21">
        <f t="shared" ref="D114:O114" si="23">D107-D112</f>
        <v>0</v>
      </c>
      <c r="E114" s="21">
        <f t="shared" si="23"/>
        <v>0</v>
      </c>
      <c r="F114" s="21">
        <f t="shared" si="23"/>
        <v>0</v>
      </c>
      <c r="G114" s="21">
        <f t="shared" si="23"/>
        <v>0</v>
      </c>
      <c r="H114" s="21">
        <f t="shared" si="23"/>
        <v>0</v>
      </c>
      <c r="I114" s="21">
        <f t="shared" si="23"/>
        <v>0</v>
      </c>
      <c r="J114" s="21">
        <f t="shared" si="23"/>
        <v>0</v>
      </c>
      <c r="K114" s="21">
        <f t="shared" si="23"/>
        <v>0</v>
      </c>
      <c r="L114" s="21">
        <f t="shared" si="23"/>
        <v>0</v>
      </c>
      <c r="M114" s="21">
        <f t="shared" si="23"/>
        <v>1036.6599999999999</v>
      </c>
      <c r="N114" s="21">
        <f t="shared" si="23"/>
        <v>0</v>
      </c>
      <c r="O114" s="21">
        <f t="shared" si="23"/>
        <v>0</v>
      </c>
      <c r="P114" s="1"/>
    </row>
    <row r="115" spans="1:16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3">
      <c r="A116" s="1"/>
      <c r="B116" s="1"/>
      <c r="C116" s="1"/>
      <c r="D116" s="4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</sheetData>
  <mergeCells count="35">
    <mergeCell ref="B46:B49"/>
    <mergeCell ref="B39:B45"/>
    <mergeCell ref="A38:A65"/>
    <mergeCell ref="B21:B23"/>
    <mergeCell ref="B15:B20"/>
    <mergeCell ref="B63:B65"/>
    <mergeCell ref="B59:B62"/>
    <mergeCell ref="B55:B58"/>
    <mergeCell ref="B50:B53"/>
    <mergeCell ref="B32:B34"/>
    <mergeCell ref="A36:O36"/>
    <mergeCell ref="A35:C35"/>
    <mergeCell ref="A1:O2"/>
    <mergeCell ref="A4:B10"/>
    <mergeCell ref="B24:B27"/>
    <mergeCell ref="A14:A34"/>
    <mergeCell ref="B28:B31"/>
    <mergeCell ref="A11:C11"/>
    <mergeCell ref="A12:O12"/>
    <mergeCell ref="A66:C66"/>
    <mergeCell ref="A69:A84"/>
    <mergeCell ref="B75:B80"/>
    <mergeCell ref="B81:B83"/>
    <mergeCell ref="B72:B74"/>
    <mergeCell ref="A88:B102"/>
    <mergeCell ref="A106:B107"/>
    <mergeCell ref="A108:O108"/>
    <mergeCell ref="B70:B71"/>
    <mergeCell ref="A67:P67"/>
    <mergeCell ref="A85:C85"/>
    <mergeCell ref="A109:B112"/>
    <mergeCell ref="A113:O113"/>
    <mergeCell ref="A114:C114"/>
    <mergeCell ref="A103:B103"/>
    <mergeCell ref="A104:O104"/>
  </mergeCells>
  <pageMargins left="0.7" right="0.7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2026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WINDOWS8</dc:creator>
  <cp:keywords/>
  <dc:description/>
  <cp:lastModifiedBy>Alessandro Dória</cp:lastModifiedBy>
  <cp:revision/>
  <dcterms:created xsi:type="dcterms:W3CDTF">2015-07-08T21:23:22Z</dcterms:created>
  <dcterms:modified xsi:type="dcterms:W3CDTF">2026-09-26T19:27:55Z</dcterms:modified>
  <cp:category/>
  <cp:contentStatus/>
</cp:coreProperties>
</file>